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Máy tính\"/>
    </mc:Choice>
  </mc:AlternateContent>
  <xr:revisionPtr revIDLastSave="0" documentId="8_{07288621-AC00-4938-874F-DB7C41102D82}" xr6:coauthVersionLast="47" xr6:coauthVersionMax="47" xr10:uidLastSave="{00000000-0000-0000-0000-000000000000}"/>
  <bookViews>
    <workbookView xWindow="-108" yWindow="-108" windowWidth="23256" windowHeight="12456" tabRatio="880" xr2:uid="{00000000-000D-0000-FFFF-FFFF00000000}"/>
  </bookViews>
  <sheets>
    <sheet name="Syllabus" sheetId="1" r:id="rId1"/>
    <sheet name="Materials" sheetId="6" r:id="rId2"/>
    <sheet name="CLO" sheetId="5" r:id="rId3"/>
    <sheet name="Constructivist Question" sheetId="8" r:id="rId4"/>
    <sheet name="Schedule" sheetId="7" r:id="rId5"/>
    <sheet name="Grading structure" sheetId="3" r:id="rId6"/>
    <sheet name="Deadline" sheetId="11" r:id="rId7"/>
    <sheet name="Lịch AP" sheetId="12" r:id="rId8"/>
  </sheets>
  <definedNames>
    <definedName name="_xlnm._FilterDatabase" localSheetId="7" hidden="1">'Lịch AP'!$L$23:$U$23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7" i="11" l="1"/>
  <c r="H37" i="11"/>
  <c r="G37" i="11"/>
  <c r="F37" i="11"/>
  <c r="E37" i="11"/>
  <c r="D37" i="11"/>
  <c r="C37" i="11"/>
  <c r="B37" i="11"/>
  <c r="I36" i="11"/>
  <c r="H36" i="11"/>
  <c r="G36" i="11"/>
  <c r="F36" i="11"/>
  <c r="E36" i="11"/>
  <c r="D36" i="11"/>
  <c r="C36" i="11"/>
  <c r="B36" i="11"/>
  <c r="I35" i="11"/>
  <c r="H35" i="11"/>
  <c r="G35" i="11"/>
  <c r="F35" i="11"/>
  <c r="E35" i="11"/>
  <c r="D35" i="11"/>
  <c r="C35" i="11"/>
  <c r="B35" i="11"/>
  <c r="J34" i="11"/>
  <c r="I34" i="11"/>
  <c r="H34" i="11"/>
  <c r="G34" i="11"/>
  <c r="F34" i="11"/>
  <c r="E34" i="11"/>
  <c r="D34" i="11"/>
  <c r="C34" i="11"/>
  <c r="B34" i="11"/>
  <c r="I33" i="11"/>
  <c r="H33" i="11"/>
  <c r="G33" i="11"/>
  <c r="F33" i="11"/>
  <c r="E33" i="11"/>
  <c r="D33" i="11"/>
  <c r="C33" i="11"/>
  <c r="B33" i="11"/>
  <c r="I32" i="11"/>
  <c r="H32" i="11"/>
  <c r="G32" i="11"/>
  <c r="F32" i="11"/>
  <c r="E32" i="11"/>
  <c r="D32" i="11"/>
  <c r="C32" i="11"/>
  <c r="B32" i="11"/>
  <c r="I31" i="11"/>
  <c r="H31" i="11"/>
  <c r="G31" i="11"/>
  <c r="F31" i="11"/>
  <c r="E31" i="11"/>
  <c r="D31" i="11"/>
  <c r="C31" i="11"/>
  <c r="B31" i="11"/>
  <c r="I30" i="11"/>
  <c r="H30" i="11"/>
  <c r="G30" i="11"/>
  <c r="F30" i="11"/>
  <c r="E30" i="11"/>
  <c r="D30" i="11"/>
  <c r="C30" i="11"/>
  <c r="B30" i="11"/>
  <c r="J29" i="11"/>
  <c r="I29" i="11"/>
  <c r="H29" i="11"/>
  <c r="G29" i="11"/>
  <c r="F29" i="11"/>
  <c r="E29" i="11"/>
  <c r="D29" i="11"/>
  <c r="C29" i="11"/>
  <c r="B29" i="11"/>
  <c r="I28" i="11"/>
  <c r="H28" i="11"/>
  <c r="G28" i="11"/>
  <c r="F28" i="11"/>
  <c r="E28" i="11"/>
  <c r="D28" i="11"/>
  <c r="C28" i="11"/>
  <c r="B28" i="11"/>
  <c r="I27" i="11"/>
  <c r="H27" i="11"/>
  <c r="G27" i="11"/>
  <c r="F27" i="11"/>
  <c r="E27" i="11"/>
  <c r="D27" i="11"/>
  <c r="C27" i="11"/>
  <c r="B27" i="11"/>
  <c r="I26" i="11"/>
  <c r="H26" i="11"/>
  <c r="G26" i="11"/>
  <c r="F26" i="11"/>
  <c r="E26" i="11"/>
  <c r="D26" i="11"/>
  <c r="C26" i="11"/>
  <c r="B26" i="11"/>
  <c r="J25" i="11"/>
  <c r="I25" i="11"/>
  <c r="H25" i="11"/>
  <c r="G25" i="11"/>
  <c r="F25" i="11"/>
  <c r="E25" i="11"/>
  <c r="D25" i="11"/>
  <c r="C25" i="11"/>
  <c r="B25" i="11"/>
  <c r="I24" i="11"/>
  <c r="H24" i="11"/>
  <c r="G24" i="11"/>
  <c r="F24" i="11"/>
  <c r="E24" i="11"/>
  <c r="D24" i="11"/>
  <c r="C24" i="11"/>
  <c r="B24" i="11"/>
  <c r="I23" i="11"/>
  <c r="H23" i="11"/>
  <c r="G23" i="11"/>
  <c r="F23" i="11"/>
  <c r="E23" i="11"/>
  <c r="D23" i="11"/>
  <c r="C23" i="11"/>
  <c r="B23" i="11"/>
  <c r="I22" i="11"/>
  <c r="H22" i="11"/>
  <c r="G22" i="11"/>
  <c r="F22" i="11"/>
  <c r="E22" i="11"/>
  <c r="D22" i="11"/>
  <c r="C22" i="11"/>
  <c r="B22" i="11"/>
  <c r="J21" i="11"/>
  <c r="I21" i="11"/>
  <c r="H21" i="11"/>
  <c r="G21" i="11"/>
  <c r="F21" i="11"/>
  <c r="E21" i="11"/>
  <c r="D21" i="11"/>
  <c r="C21" i="11"/>
  <c r="B21" i="11"/>
  <c r="I20" i="11"/>
  <c r="H20" i="11"/>
  <c r="G20" i="11"/>
  <c r="F20" i="11"/>
  <c r="E20" i="11"/>
  <c r="D20" i="11"/>
  <c r="C20" i="11"/>
  <c r="B20" i="11"/>
  <c r="I19" i="11"/>
  <c r="H19" i="11"/>
  <c r="G19" i="11"/>
  <c r="F19" i="11"/>
  <c r="E19" i="11"/>
  <c r="D19" i="11"/>
  <c r="C19" i="11"/>
  <c r="B19" i="11"/>
  <c r="I18" i="11"/>
  <c r="H18" i="11"/>
  <c r="G18" i="11"/>
  <c r="F18" i="11"/>
  <c r="E18" i="11"/>
  <c r="D18" i="11"/>
  <c r="C18" i="11"/>
  <c r="B18" i="11"/>
  <c r="J17" i="11"/>
  <c r="I17" i="11"/>
  <c r="H17" i="11"/>
  <c r="G17" i="11"/>
  <c r="F17" i="11"/>
  <c r="E17" i="11"/>
  <c r="D17" i="11"/>
  <c r="C17" i="11"/>
  <c r="B17" i="11"/>
  <c r="I16" i="11"/>
  <c r="H16" i="11"/>
  <c r="G16" i="11"/>
  <c r="F16" i="11"/>
  <c r="E16" i="11"/>
  <c r="D16" i="11"/>
  <c r="C16" i="11"/>
  <c r="B16" i="11"/>
  <c r="I15" i="11"/>
  <c r="H15" i="11"/>
  <c r="G15" i="11"/>
  <c r="F15" i="11"/>
  <c r="E15" i="11"/>
  <c r="D15" i="11"/>
  <c r="C15" i="11"/>
  <c r="B15" i="11"/>
  <c r="I14" i="11"/>
  <c r="H14" i="11"/>
  <c r="G14" i="11"/>
  <c r="F14" i="11"/>
  <c r="E14" i="11"/>
  <c r="D14" i="11"/>
  <c r="C14" i="11"/>
  <c r="B14" i="11"/>
  <c r="J13" i="11"/>
  <c r="I13" i="11"/>
  <c r="H13" i="11"/>
  <c r="G13" i="11"/>
  <c r="F13" i="11"/>
  <c r="E13" i="11"/>
  <c r="D13" i="11"/>
  <c r="C13" i="11"/>
  <c r="B13" i="11"/>
  <c r="I12" i="11"/>
  <c r="H12" i="11"/>
  <c r="G12" i="11"/>
  <c r="F12" i="11"/>
  <c r="E12" i="11"/>
  <c r="D12" i="11"/>
  <c r="C12" i="11"/>
  <c r="B12" i="11"/>
  <c r="I11" i="11"/>
  <c r="H11" i="11"/>
  <c r="G11" i="11"/>
  <c r="F11" i="11"/>
  <c r="E11" i="11"/>
  <c r="D11" i="11"/>
  <c r="C11" i="11"/>
  <c r="B11" i="11"/>
  <c r="I10" i="11"/>
  <c r="H10" i="11"/>
  <c r="G10" i="11"/>
  <c r="F10" i="11"/>
  <c r="E10" i="11"/>
  <c r="D10" i="11"/>
  <c r="C10" i="11"/>
  <c r="B10" i="11"/>
  <c r="J9" i="11"/>
  <c r="I9" i="11"/>
  <c r="H9" i="11"/>
  <c r="G9" i="11"/>
  <c r="F9" i="11"/>
  <c r="E9" i="11"/>
  <c r="D9" i="11"/>
  <c r="C9" i="11"/>
  <c r="B9" i="11"/>
  <c r="I8" i="11"/>
  <c r="H8" i="11"/>
  <c r="G8" i="11"/>
  <c r="F8" i="11"/>
  <c r="E8" i="11"/>
  <c r="D8" i="11"/>
  <c r="C8" i="11"/>
  <c r="B8" i="11"/>
  <c r="I7" i="11"/>
  <c r="H7" i="11"/>
  <c r="G7" i="11"/>
  <c r="F7" i="11"/>
  <c r="E7" i="11"/>
  <c r="D7" i="11"/>
  <c r="C7" i="11"/>
  <c r="B7" i="11"/>
  <c r="I6" i="11"/>
  <c r="H6" i="11"/>
  <c r="G6" i="11"/>
  <c r="F6" i="11"/>
  <c r="E6" i="11"/>
  <c r="D6" i="11"/>
  <c r="C6" i="11"/>
  <c r="B6" i="11"/>
  <c r="J5" i="11"/>
  <c r="I5" i="11"/>
  <c r="H5" i="11"/>
  <c r="G5" i="11"/>
  <c r="F5" i="11"/>
  <c r="E5" i="11"/>
  <c r="D5" i="11"/>
  <c r="C5" i="11"/>
  <c r="B5" i="11"/>
  <c r="I4" i="11"/>
  <c r="H4" i="11"/>
  <c r="G4" i="11"/>
  <c r="F4" i="11"/>
  <c r="E4" i="11"/>
  <c r="D4" i="11"/>
  <c r="C4" i="11"/>
  <c r="B4" i="11"/>
  <c r="I3" i="11"/>
  <c r="H3" i="11"/>
  <c r="G3" i="11"/>
  <c r="F3" i="11"/>
  <c r="E3" i="11"/>
  <c r="D3" i="11"/>
  <c r="C3" i="11"/>
  <c r="B3" i="11"/>
</calcChain>
</file>

<file path=xl/sharedStrings.xml><?xml version="1.0" encoding="utf-8"?>
<sst xmlns="http://schemas.openxmlformats.org/spreadsheetml/2006/main" count="927" uniqueCount="412">
  <si>
    <t>Syllabus Details</t>
  </si>
  <si>
    <t>Syllabus ID:</t>
  </si>
  <si>
    <t>Syllabus Name:</t>
  </si>
  <si>
    <t>Nhập môn lập trình</t>
  </si>
  <si>
    <t>Course Name English:</t>
  </si>
  <si>
    <t>Programming Introduction</t>
  </si>
  <si>
    <t>Subject Code:</t>
  </si>
  <si>
    <t>COM108</t>
  </si>
  <si>
    <t>NoCredit:</t>
  </si>
  <si>
    <t>Degree Level:</t>
  </si>
  <si>
    <t>Cao đẳng</t>
  </si>
  <si>
    <t>Time Allocation:</t>
  </si>
  <si>
    <t>Tổng thời lượng: 75 giờ</t>
  </si>
  <si>
    <t>1. Trên lớp: 36 giờ</t>
  </si>
  <si>
    <t>+ Tích hợp (Script/Lab/Workshop/Casestudy, Quiz, Progress Test, Open Activity)</t>
  </si>
  <si>
    <t>2. Bảo vệ, kiểm tra: 2 giờ</t>
  </si>
  <si>
    <t>+ Bảo vệ assignment hoặc/và thi cuối môn: 2 giờ</t>
  </si>
  <si>
    <t>3. Học qua hướng dẫn của hệ thống: 37 giờ</t>
  </si>
  <si>
    <t>+ Học và trả lời câu hỏi trong video trước khi đến lớp</t>
  </si>
  <si>
    <t>+ Thực hiện dự án môn học (Assignment, Project)</t>
  </si>
  <si>
    <t>Pre-Requisite:</t>
  </si>
  <si>
    <t>Description:</t>
  </si>
  <si>
    <t>Môn học này cung cấp cho người học những khái niệm cơ bản trong lập trình đồng như biến, biểu thức, lệnh, mảng, thuật toán… thời được sử dụng để định hướng chuyên ngành phù hợp với năng lực, sở thích của người học sau khi kết thúc học kỳ 1.</t>
  </si>
  <si>
    <t>StudentTasks:</t>
  </si>
  <si>
    <t>- Thực hiện các nhiệm vụ của sinh viên trước giờ học và sau giờ học được nêu chi tiết trong lịch trình học</t>
  </si>
  <si>
    <t>- Tích cực tham gia các hoạt động trong giờ học trên lớp</t>
  </si>
  <si>
    <t>- Thực hiện đầy đủ các nhiệm vụ giảng viên giao</t>
  </si>
  <si>
    <t>- Hoàn thiện và nộp đúng hạn Assignment theo từng giai đoạn và bản báo cáo Assignment cuối kỳ</t>
  </si>
  <si>
    <t>- Sử dụng giáo trình, các tài nguyên đi kèm (nếu có) và tìm kiếm thêm các tài nguyên tham khảo từ các nguồn khác nhau để hoàn thiện kiến thức</t>
  </si>
  <si>
    <t>- Truy cập website tài nguyên (http://flm.poly.edu.vn) để có thông tin và tài nguyên cập nhật nhất của khóa học</t>
  </si>
  <si>
    <t>- Truy cập website quản lý khóa học (http://ap.poly.edu.vn) để có lịch học và kết quả điểm</t>
  </si>
  <si>
    <t>- Truy cập website http://cms.poly.edu.vn để học các bài học online</t>
  </si>
  <si>
    <t>- Email cho giảng viên khi có câu hỏi thắc mắc ngoài giờ học.</t>
  </si>
  <si>
    <t>Tools:</t>
  </si>
  <si>
    <t>- CFree 5</t>
  </si>
  <si>
    <t>Scoring Scale:</t>
  </si>
  <si>
    <t>DecisionNo MM/dd/yyyy:</t>
  </si>
  <si>
    <t>543/QĐ-CĐFPL dated 07/30/2025</t>
  </si>
  <si>
    <t>IsApproved:</t>
  </si>
  <si>
    <t>Note:</t>
  </si>
  <si>
    <t>1. Điều kiện dự thi cuối môn:</t>
  </si>
  <si>
    <t>- Trung bình cộng (theo trọng số) các thành phần điểm quá trình tối thiểu là 5</t>
  </si>
  <si>
    <t>- Tham dự tối thiểu 80% số giờ trên lớp</t>
  </si>
  <si>
    <t>- Hoàn thành 100% các bài học online trên CMS</t>
  </si>
  <si>
    <t>2. Điều kiện qua môn:</t>
  </si>
  <si>
    <t>- Điểm đánh giá cuối môn (Final Exam) tối thiểu là 5</t>
  </si>
  <si>
    <t>- Tổng điểm môn tối thiểu là 5</t>
  </si>
  <si>
    <t>3. Xem thêm phần cơ cấu điểm đánh giá (Grading Structure)</t>
  </si>
  <si>
    <t>MinAvgMarkToPass:</t>
  </si>
  <si>
    <t>IsActive:</t>
  </si>
  <si>
    <t>ApprovedDate:</t>
  </si>
  <si>
    <t>7/30/2025</t>
  </si>
  <si>
    <t>MaterialDescription</t>
  </si>
  <si>
    <t>Author</t>
  </si>
  <si>
    <t>Publisher</t>
  </si>
  <si>
    <t>PublishedDate</t>
  </si>
  <si>
    <t>Edition</t>
  </si>
  <si>
    <t>ISBN</t>
  </si>
  <si>
    <t>IsMainMaterial</t>
  </si>
  <si>
    <t>IsHardCopy</t>
  </si>
  <si>
    <t>IsOnline</t>
  </si>
  <si>
    <t>Note</t>
  </si>
  <si>
    <t>Assignment:1</t>
  </si>
  <si>
    <t>Doing at home</t>
  </si>
  <si>
    <t>Bài học online: 8</t>
  </si>
  <si>
    <t>Online learning videos</t>
  </si>
  <si>
    <t>Bài giảng trên lớp: 8</t>
  </si>
  <si>
    <t>Teaching &amp; learning materials</t>
  </si>
  <si>
    <t>Lab: 8</t>
  </si>
  <si>
    <t>Slide (08 ppt)</t>
  </si>
  <si>
    <t>https://freetuts.net/hoc-c/c-can-ban</t>
  </si>
  <si>
    <t>Internet</t>
  </si>
  <si>
    <t>CLO Name</t>
  </si>
  <si>
    <t>CLO Details</t>
  </si>
  <si>
    <t>CLO1</t>
  </si>
  <si>
    <t>Hiểu rõ các vấn đề cơ bản của lập trình: Hiểu rõ các vấn đề cơ bản về lập trình; Hiểu rõ các khái niệm về C</t>
  </si>
  <si>
    <t>CLO2</t>
  </si>
  <si>
    <t>Hiểu rõ các khái niệm về biến, hằng, toán tử, biểu thức: Hiểu rõ các khái niệm về biến, hằng; Hiểu rõ các khái niệm về toán tử, biêu thức</t>
  </si>
  <si>
    <t>CLO3</t>
  </si>
  <si>
    <t>Vận dụng câu điều kiện vào các bài toán: Vận dụng câu lệnh if để làm các bài toán; Vận dụng câu lệnh switch để làm các bài toán</t>
  </si>
  <si>
    <t>CLO4</t>
  </si>
  <si>
    <t>Vận dụng vòng lặp vào các bài toán: Vận dụng câu lệnh while, do whie để làm các bài toán; Vận dụng câu lệnh if để làm các bài toán; Vận dụng break, continue, goto để làm các bài toán</t>
  </si>
  <si>
    <t>CLO5</t>
  </si>
  <si>
    <t>Hiểu rõ về mảng và vận dụng trong các bài toán: Vận dụng mảng 1 chiều để làm các bài toán; Vận dung mảng 2 chiều để làm các bài toán</t>
  </si>
  <si>
    <t>CLO6</t>
  </si>
  <si>
    <t>Vận dụng các hàm thao tác chuỗi: Vận dụng các hàm thao tác chuỗi để làm các bài toán</t>
  </si>
  <si>
    <t>CLO7</t>
  </si>
  <si>
    <t>Hiểu về cấu trúc và vận dụng trong các bài toán: Vận dụng cấu trúc Structure để làm các bài toán; Vận dung cấu trúc Union để làm các bài toán</t>
  </si>
  <si>
    <t>No</t>
  </si>
  <si>
    <t>SessionNo</t>
  </si>
  <si>
    <t xml:space="preserve"> Name</t>
  </si>
  <si>
    <t>Detail</t>
  </si>
  <si>
    <t>Session</t>
  </si>
  <si>
    <t>Topic</t>
  </si>
  <si>
    <t>Learning-Teaching Type</t>
  </si>
  <si>
    <t>LO</t>
  </si>
  <si>
    <t>ITU</t>
  </si>
  <si>
    <t>Student Materials</t>
  </si>
  <si>
    <t>S-Download</t>
  </si>
  <si>
    <t>Lecturer Materials</t>
  </si>
  <si>
    <t>T-Download</t>
  </si>
  <si>
    <t>Student's Tasks</t>
  </si>
  <si>
    <t>Lecturer Tasks</t>
  </si>
  <si>
    <t>URLs</t>
  </si>
  <si>
    <t>Slide 1.1 - Tổng quan lập trình; Lab 1.1</t>
  </si>
  <si>
    <t>Offline</t>
  </si>
  <si>
    <t>CLO1.1</t>
  </si>
  <si>
    <t>IT</t>
  </si>
  <si>
    <t>Syllabus, Assignment, Slide1.1,</t>
  </si>
  <si>
    <t>link1</t>
  </si>
  <si>
    <t>- Giới thiệu Syllabus,</t>
  </si>
  <si>
    <t>- Giới thiệu tổng quan về khái niệm lập trình</t>
  </si>
  <si>
    <t>Online 1.1,</t>
  </si>
  <si>
    <t>- Giới thiệu Assignment,</t>
  </si>
  <si>
    <t>- Giới thiệu về ngôn ngữ lập trình C</t>
  </si>
  <si>
    <t>Lab1.1</t>
  </si>
  <si>
    <t>- Slide1.1.</t>
  </si>
  <si>
    <t>- Cài đặt công cụ học lập trình</t>
  </si>
  <si>
    <t>- Thực hành Lab1.1</t>
  </si>
  <si>
    <t>* Phân bổ thời gian:</t>
  </si>
  <si>
    <t>* Thực hiện các công việc:</t>
  </si>
  <si>
    <t>+ (1 giờ): Học theo sự giảng dạy của giảng viên</t>
  </si>
  <si>
    <t>+ Hướng dẫn sinh viên thực hiện asm qua từng bài học</t>
  </si>
  <si>
    <t>+ (1 giờ): Thực hành hoặc thảo luận tình huống</t>
  </si>
  <si>
    <t>+ Thuyết giảng theo slide bài giảng</t>
  </si>
  <si>
    <t>+ (30 phút): Xem bài thuyết giảng của giảng viên qua video trên LMS/CMS</t>
  </si>
  <si>
    <t>+ Hướng dẫn, ôn bài, chỉ rõ những điểm quan trọng trong video</t>
  </si>
  <si>
    <t>+ (1 giờ 30 phút): Thực hiện assignment</t>
  </si>
  <si>
    <t>Slide 1.2 - Tổng quan lập trình; Lab 1.2</t>
  </si>
  <si>
    <t>CLO1.2</t>
  </si>
  <si>
    <t>Slide1.2, Online 1.2,</t>
  </si>
  <si>
    <t>- Review Slide 1.1,</t>
  </si>
  <si>
    <t>- Cú pháp C cơ bản</t>
  </si>
  <si>
    <t>Lab1.2</t>
  </si>
  <si>
    <t>- Slide1.2</t>
  </si>
  <si>
    <t>- Kiểu dữ liệu</t>
  </si>
  <si>
    <t>- Thực hành Lab1.2</t>
  </si>
  <si>
    <t>Slide 2.1 - Các khái niệm cơ bản; Lab 2.1</t>
  </si>
  <si>
    <t>CLO2.1</t>
  </si>
  <si>
    <t>TU</t>
  </si>
  <si>
    <t>Slide2.1,</t>
  </si>
  <si>
    <t>- Review Slide 1.2,</t>
  </si>
  <si>
    <t>- Biến</t>
  </si>
  <si>
    <t>Online 2.1,</t>
  </si>
  <si>
    <t>- Slide2.1</t>
  </si>
  <si>
    <t>- Hằng số</t>
  </si>
  <si>
    <t>Lab2.1</t>
  </si>
  <si>
    <t>- Thực hành Lab2.1</t>
  </si>
  <si>
    <t>Slide 2.2 - Các khái niệm cơ bản; Lab 2.2</t>
  </si>
  <si>
    <t>CLO2.2</t>
  </si>
  <si>
    <t>Slide2.2,</t>
  </si>
  <si>
    <t>- Review Slide 2.1</t>
  </si>
  <si>
    <t>- Toán tử trong lập trình</t>
  </si>
  <si>
    <t>Online 2.2,</t>
  </si>
  <si>
    <t>- Slide2.2</t>
  </si>
  <si>
    <t>- Xây dựng biểu thức</t>
  </si>
  <si>
    <t>Lab2.2, Quiz1</t>
  </si>
  <si>
    <t>- Thực hành Lab2.2</t>
  </si>
  <si>
    <t>- Nộp Lab1(Lab11-Lab22)</t>
  </si>
  <si>
    <t>+ Hướng dẫn, kiểm soát và chấm bài</t>
  </si>
  <si>
    <t>+ (15 phút): Thực hiện trắc nghiệm trên LMS/CMS</t>
  </si>
  <si>
    <t>Slide 3.1 - Câu lệnh điều kiện; Lab 3.1</t>
  </si>
  <si>
    <t>CLO3.1</t>
  </si>
  <si>
    <t>Slide3.1,</t>
  </si>
  <si>
    <t>- Review Slide 2.2,</t>
  </si>
  <si>
    <t>- Câu lệnh điều kiện If</t>
  </si>
  <si>
    <t>Online 3.1,</t>
  </si>
  <si>
    <t>- Slide3.1</t>
  </si>
  <si>
    <t>Lab3.1</t>
  </si>
  <si>
    <t>- Thực hành Lab3.1</t>
  </si>
  <si>
    <t>Slide 3.2 - Câu lệnh điều kiện; Lab 3.2</t>
  </si>
  <si>
    <t>CLO3.2</t>
  </si>
  <si>
    <t>Slide3.2,</t>
  </si>
  <si>
    <t>- Review Slide 3.1,</t>
  </si>
  <si>
    <t>- Câu lệnh điều kiệu Switch</t>
  </si>
  <si>
    <t>Online 3.2,</t>
  </si>
  <si>
    <t>- Slide3.2</t>
  </si>
  <si>
    <t>- Hướng dẫn Assignment giai đoạn 1</t>
  </si>
  <si>
    <t>Lab3.2</t>
  </si>
  <si>
    <t>- Thực hành Lab3.2</t>
  </si>
  <si>
    <t>- Hướng dẫn hoàn thành và nộp GD 1</t>
  </si>
  <si>
    <t>Slide 4.1 - Vòng lặp; Lab 4.1</t>
  </si>
  <si>
    <t>CLO4.1</t>
  </si>
  <si>
    <t>Slide4.1,</t>
  </si>
  <si>
    <t>- Review Slide 3.2,</t>
  </si>
  <si>
    <t>Review Slide 3.2,</t>
  </si>
  <si>
    <t>- Vòng lặp While</t>
  </si>
  <si>
    <t>Online 4.1,</t>
  </si>
  <si>
    <t>- Slide4.1</t>
  </si>
  <si>
    <t>Slide4.1</t>
  </si>
  <si>
    <t>- Vòng lặp Do While</t>
  </si>
  <si>
    <t>Lab4.1</t>
  </si>
  <si>
    <t>- Thực hành Lab4.1</t>
  </si>
  <si>
    <t>Thực hành Lab4.1</t>
  </si>
  <si>
    <t>+ (2 giờ): Thực hiện assignment</t>
  </si>
  <si>
    <t>+ (2 giờ): Học theo sự giảng dạy của giảng viên</t>
  </si>
  <si>
    <t>+ (0.5 giờ): Xem bài thuyết giảng của giảng viên qua video trên LMS/CMS</t>
  </si>
  <si>
    <t>Slide 4.2 - Vòng lặp; Lab 4.2</t>
  </si>
  <si>
    <t>CLO4.2</t>
  </si>
  <si>
    <t>Slide4.2,</t>
  </si>
  <si>
    <t>- Review Slide 4.1,</t>
  </si>
  <si>
    <t>- Vòng lặp For</t>
  </si>
  <si>
    <t>Online 4.2,</t>
  </si>
  <si>
    <t>- Slide4.2</t>
  </si>
  <si>
    <t>- Lệnh break</t>
  </si>
  <si>
    <t>Lab4.2, Quiz2</t>
  </si>
  <si>
    <t>- Thực hành Lab4.2</t>
  </si>
  <si>
    <t>- Lệnh Continue</t>
  </si>
  <si>
    <t>- Nộp Lab2(Lab31-Lab42)</t>
  </si>
  <si>
    <t>- Lệnh goto</t>
  </si>
  <si>
    <t>Đánh giá Assignment giai đoạn 1</t>
  </si>
  <si>
    <t>CLO1, CLO2, CLO3</t>
  </si>
  <si>
    <t>Assignment</t>
  </si>
  <si>
    <t>- Thực hiện Assginment giai đoạn 1</t>
  </si>
  <si>
    <t>- Đánh giá bài Assignment giai đoạn 1 của sinh viên</t>
  </si>
  <si>
    <t>- Hướng dẫn sinh viên tiếp tục thực hiện giai đoạn 2</t>
  </si>
  <si>
    <t>+ (2 giờ): Thực hành hoặc thảo luận tình huống</t>
  </si>
  <si>
    <t>Slide 5.1 - Hàm; Lab 5.1</t>
  </si>
  <si>
    <t>CLO4.3</t>
  </si>
  <si>
    <t>Slide5.1,</t>
  </si>
  <si>
    <t>- Review Slide 4.2,</t>
  </si>
  <si>
    <t>- Ôn tập vòng lặp</t>
  </si>
  <si>
    <t>Online 5.1,</t>
  </si>
  <si>
    <t>- Slide5.1</t>
  </si>
  <si>
    <t>- Hàm</t>
  </si>
  <si>
    <t>Lab5.1</t>
  </si>
  <si>
    <t>- Thực hành Lab5.1</t>
  </si>
  <si>
    <t>Slide 5.2 - Hàm; Lab 5.2</t>
  </si>
  <si>
    <t>U</t>
  </si>
  <si>
    <t>Slide5.2,</t>
  </si>
  <si>
    <t>- Review Slide 5.1,</t>
  </si>
  <si>
    <t>Online 5.2,</t>
  </si>
  <si>
    <t>- Slide5.2</t>
  </si>
  <si>
    <t>Lab5.2</t>
  </si>
  <si>
    <t>- Thực hành Lab5.2</t>
  </si>
  <si>
    <t>Slide 6.1 - Mảng; Lab 6.1</t>
  </si>
  <si>
    <t>CLO5.1</t>
  </si>
  <si>
    <t>Slide6.1,</t>
  </si>
  <si>
    <t>- Review Slide 5.2</t>
  </si>
  <si>
    <t>- Khái niệm về mảng</t>
  </si>
  <si>
    <t>Online 6.1,</t>
  </si>
  <si>
    <t>- Slide6.1</t>
  </si>
  <si>
    <t>- Mảng 1 chiều</t>
  </si>
  <si>
    <t>Lab6.1</t>
  </si>
  <si>
    <t>- Thực hành Lab6.1</t>
  </si>
  <si>
    <t>Slide 6.2 - Mảng; Lab 6.2</t>
  </si>
  <si>
    <t>CLO5.2</t>
  </si>
  <si>
    <t>Slide6.2,</t>
  </si>
  <si>
    <t>- Review Slide 6.1,</t>
  </si>
  <si>
    <t>- Mảng 2 chiều</t>
  </si>
  <si>
    <t>Online 6.2,</t>
  </si>
  <si>
    <t>- Slide6.2</t>
  </si>
  <si>
    <t>Lab6.2, Quiz3</t>
  </si>
  <si>
    <t>- Thực hành Lab6.2</t>
  </si>
  <si>
    <t>- Nộp Lab3(Lab51-Lab62)</t>
  </si>
  <si>
    <t>Slide 7.1 - Chuỗi; Lab 7.1</t>
  </si>
  <si>
    <t>CLO6.1</t>
  </si>
  <si>
    <t>Slide7.1,</t>
  </si>
  <si>
    <t>- Review Slide 6.2</t>
  </si>
  <si>
    <t>- Các hàm thao tác chuỗi</t>
  </si>
  <si>
    <t>Online 7.1,</t>
  </si>
  <si>
    <t>- Slide7.1</t>
  </si>
  <si>
    <t>Lab7.1</t>
  </si>
  <si>
    <t>- Thực hành Lab7.1</t>
  </si>
  <si>
    <t>Slide 7.2 - Chuỗi; Lab 7.2</t>
  </si>
  <si>
    <t>Slide7.2,</t>
  </si>
  <si>
    <t>- Review Slide 7.1,</t>
  </si>
  <si>
    <t>Online 7.2,</t>
  </si>
  <si>
    <t>- Slide7.2</t>
  </si>
  <si>
    <t>Lab7.2</t>
  </si>
  <si>
    <t>- Thực hành Lab7.2</t>
  </si>
  <si>
    <t>- Hướng dẫn hoàn thành và nộp GD 2</t>
  </si>
  <si>
    <t>Slide 8.1 - Cấu trúc; Lab 8.1</t>
  </si>
  <si>
    <t>CLO7.1</t>
  </si>
  <si>
    <t>Slide8.1,</t>
  </si>
  <si>
    <t>- Review Slide 7.2</t>
  </si>
  <si>
    <t>- Structure</t>
  </si>
  <si>
    <t>Online 8.1,</t>
  </si>
  <si>
    <t>- Slide8.1</t>
  </si>
  <si>
    <t>Lab8.1</t>
  </si>
  <si>
    <t>- Thực hành Lab8.1</t>
  </si>
  <si>
    <t>Slide 8.2 - Cấu trúc; Lab 8.2</t>
  </si>
  <si>
    <t>CLO7.2</t>
  </si>
  <si>
    <t>Slide8.2,</t>
  </si>
  <si>
    <t>- Review Slide 8.1,</t>
  </si>
  <si>
    <t>- Union</t>
  </si>
  <si>
    <t>Online 8.2</t>
  </si>
  <si>
    <t>- Slide8.2</t>
  </si>
  <si>
    <t>Lab8.2, Quiz4</t>
  </si>
  <si>
    <t>- Thực hành Lab8.2</t>
  </si>
  <si>
    <t>- Nộp Lab4(Lab71-Lab82)</t>
  </si>
  <si>
    <t>- Hướng dẫn hoàn thành GD final</t>
  </si>
  <si>
    <t>Hoạt động mở:</t>
  </si>
  <si>
    <t>ORIT</t>
  </si>
  <si>
    <t>All CLO</t>
  </si>
  <si>
    <t>Hệ thống lại kiến thức môn, tiếp thu kiến thức mở từ giảng viên, chuyên gia đến từ doanh nghiệp</t>
  </si>
  <si>
    <t>Ôn tập, giải đáp thắc mắc, trao đổi kiến thức, kỹ năng, thái độ cần thiết khác liên quan đến môn học</t>
  </si>
  <si>
    <t>- Giảng viên cho sinh viên ôn tập toàn bộ nội dung của môn học hoặc/và</t>
  </si>
  <si>
    <t>- Giải đáp các vấn đề liên quan đến Assignment trước khi bảo vệ chính thức hoặc/và</t>
  </si>
  <si>
    <t>- Tổ chức seminar các chủ đề liên quan đến môn học hoặc/và</t>
  </si>
  <si>
    <t>- Mời diễn giả đến thuyết trình chủ đề thực tế liên quan đến môn học hoặc/và</t>
  </si>
  <si>
    <t>- Đưa sinh viên đến doanh nghiệp để giao lưu học hỏi</t>
  </si>
  <si>
    <t>Bảo vệ Assignment: Sinh viên phải chứng minh assignment là do mình/nhóm tự làm mà không phải sao chép của bất kỳ ai/nhóm khác.</t>
  </si>
  <si>
    <t>All CLOs</t>
  </si>
  <si>
    <t>Sinh viên trình bày bằng slide hoặc thi thực hành. Mỗi buổi thi 2 giờ, mỗi sinh viên bảo vệ tối đa 10 phút nếu làm cá nhân và 30 phút nếu làm nhóm.</t>
  </si>
  <si>
    <t>Giảng viên chất vấn theo các tiêu chí của assignment</t>
  </si>
  <si>
    <t>Chú ý: các cơ sở có thể chọn 1 trong 2 hình thức tổ chức sau:</t>
  </si>
  <si>
    <t>1. Sinh viên thuyết trình bằng slide, minh họa sản phẩm thực hiện theo yêu cầu của assignment, giảng viên chất vấn sinh viên về kiến thức, kỹ năng trong phạm vi assignment.</t>
  </si>
  <si>
    <t>2. Thi thực hành trong phạm vi kiến thức của assignment, giảng viên vấn đáp trên bài thi và assignment.</t>
  </si>
  <si>
    <t>Category</t>
  </si>
  <si>
    <t>Type</t>
  </si>
  <si>
    <t>Part</t>
  </si>
  <si>
    <t>Weight</t>
  </si>
  <si>
    <t>Completion Criteria</t>
  </si>
  <si>
    <t>Duration</t>
  </si>
  <si>
    <t>CLO</t>
  </si>
  <si>
    <t>Question Type</t>
  </si>
  <si>
    <t>No Question</t>
  </si>
  <si>
    <t>Knowledge and Skill</t>
  </si>
  <si>
    <t>Grading Guide</t>
  </si>
  <si>
    <t>On-going</t>
  </si>
  <si>
    <t>20.0%</t>
  </si>
  <si>
    <t>Bài học online</t>
  </si>
  <si>
    <t>.0%</t>
  </si>
  <si>
    <t>Trắc nghiệm</t>
  </si>
  <si>
    <t>Học theo tiến độ bài học online. Điểm tính theo tỷ lệ hoàn thành bài học Online (100%)</t>
  </si>
  <si>
    <t>Đánh giá Assignment GĐ 1</t>
  </si>
  <si>
    <t>10.0%</t>
  </si>
  <si>
    <t>Nội dung trong các sách giáo trình của các môn học trước đó</t>
  </si>
  <si>
    <t>SV nộp bài để giáo viên chấm</t>
  </si>
  <si>
    <t>(thời hạn: cuối giờ hoặc cuối ngày, hoặc giảng viên quy định phù hợp với thời gian học của lớp)</t>
  </si>
  <si>
    <t>Đánh giá Assignment GĐ 2</t>
  </si>
  <si>
    <t>Lab</t>
  </si>
  <si>
    <t>Lab1</t>
  </si>
  <si>
    <t>5.0%</t>
  </si>
  <si>
    <t>CLO1, CLO2</t>
  </si>
  <si>
    <t>Tình huống</t>
  </si>
  <si>
    <t>4 bài</t>
  </si>
  <si>
    <t>Slide1-2</t>
  </si>
  <si>
    <t>Giảng viên chấm bằng tay tại lớp hoặc download từ LMS để chấm</t>
  </si>
  <si>
    <t>Lab2</t>
  </si>
  <si>
    <t>CLO3, CLO4</t>
  </si>
  <si>
    <t>Slide3-4</t>
  </si>
  <si>
    <t>Lab3</t>
  </si>
  <si>
    <t>CLO4, CLO5</t>
  </si>
  <si>
    <t>Slide5-6</t>
  </si>
  <si>
    <t>Lab4</t>
  </si>
  <si>
    <t>CLO6, CLO7</t>
  </si>
  <si>
    <t>Slide7-8</t>
  </si>
  <si>
    <t>Quiz</t>
  </si>
  <si>
    <t>Quiz 1</t>
  </si>
  <si>
    <t>10 phút</t>
  </si>
  <si>
    <t>Slide 1,2</t>
  </si>
  <si>
    <t>Tổ chức tự động trên LMS</t>
  </si>
  <si>
    <t>GV phải điều chỉnh thời gian bắt đầu cho bài quiz</t>
  </si>
  <si>
    <t>Quiz 2</t>
  </si>
  <si>
    <t>Slide 3,4</t>
  </si>
  <si>
    <t>Quiz 3</t>
  </si>
  <si>
    <t>CLO5, CLO6</t>
  </si>
  <si>
    <t>Slide 5,6</t>
  </si>
  <si>
    <t>Quiz 4</t>
  </si>
  <si>
    <t>Slide 7,8</t>
  </si>
  <si>
    <t>Bảo vệ Assignment</t>
  </si>
  <si>
    <t>Final Exam</t>
  </si>
  <si>
    <t>40.0%</t>
  </si>
  <si>
    <t>2h</t>
  </si>
  <si>
    <t>Sản phẩm, Slide, Document, Đề thi</t>
  </si>
  <si>
    <t>Toàn bộ kiến thức, kỹ năng và thái độ được yêu cầu trong assignment</t>
  </si>
  <si>
    <t>* Hội đồng bảo vệ gồm 2 giảng viên (đứng lớp và phản biện)</t>
  </si>
  <si>
    <t>Sinh viên nộp sản phẩm đúng nơi quy định. Giảng viên hội đồng tải sản phẩm của sinh viên và xem trước ngày bảo vệ</t>
  </si>
  <si>
    <t>* Trước buổi bảo vệ: Giảng viên chấm document, slide PowerPoint (nếu thuyết trình) và xem qua sản phẩm hoàn chỉnh do sinh viên nộp</t>
  </si>
  <si>
    <t>* Tại buổi bảo vệ: Trình bày theo nhóm hoặc cá nhân. Hội đồng phỏng vấn từng sinh viên.</t>
  </si>
  <si>
    <t>#</t>
  </si>
  <si>
    <t>Ngày</t>
  </si>
  <si>
    <t>Ca học</t>
  </si>
  <si>
    <t>Khu</t>
  </si>
  <si>
    <t>Phòng</t>
  </si>
  <si>
    <t>Lớp</t>
  </si>
  <si>
    <t>Giảng viên</t>
  </si>
  <si>
    <t>Mã môn</t>
  </si>
  <si>
    <t>Tên môn</t>
  </si>
  <si>
    <t>Deadline</t>
  </si>
  <si>
    <t>Nhiệm vụ</t>
  </si>
  <si>
    <t>Lab 1</t>
  </si>
  <si>
    <t>Lab 2, Quiz 1</t>
  </si>
  <si>
    <t>Lab 3</t>
  </si>
  <si>
    <t>Lab 4, Quiz 2 + ASM 1</t>
  </si>
  <si>
    <t>Lab 5</t>
  </si>
  <si>
    <t>Lab 6,7 và Quiz 3</t>
  </si>
  <si>
    <t>Lab 8, Quiz 4 +ASM 2</t>
  </si>
  <si>
    <t>ASM 2(Bổ sung)</t>
  </si>
  <si>
    <t>MỘT SỐ QUY ĐỊNH CẦN HẾT SỨC CHÚ Ý:</t>
  </si>
  <si>
    <t xml:space="preserve">1. Đi học không đủ số buổi (Vắng hơn 3 buổi) </t>
  </si>
  <si>
    <t>---&gt; Failed môn</t>
  </si>
  <si>
    <t>2. Điểm (quiz1+ quiz2+quiz3+quiz4+quiz5+quiz6+quiz7+quiz8)/8 &lt;5</t>
  </si>
  <si>
    <t>3. Điểm (lab1+ lab2+lab3+lab4+lab5+lab6+lab7+lab8)/8 &lt;5</t>
  </si>
  <si>
    <t>4. Đi học đầy đủ 17 buổi:</t>
  </si>
  <si>
    <t>Cộng 0.3 điểm</t>
  </si>
  <si>
    <t>5. Đi học đầy đủ 17 buổi nhưng có trễ:</t>
  </si>
  <si>
    <t>Cộng 0.1 điểm</t>
  </si>
  <si>
    <t>6. Đi học có vắng 1 đến 3 buổi:</t>
  </si>
  <si>
    <t>Cộng 0.0 điểm</t>
  </si>
  <si>
    <t>7. Mỗi một điểm lab được 10 điểm</t>
  </si>
  <si>
    <t>`</t>
  </si>
  <si>
    <t>Mô tả</t>
  </si>
  <si>
    <t>PMQT</t>
  </si>
  <si>
    <t>T1006 (Nha T)</t>
  </si>
  <si>
    <t>SD21301</t>
  </si>
  <si>
    <t>baytt</t>
  </si>
  <si>
    <t>Tích hợp(LT+TH)</t>
  </si>
  <si>
    <t>Remote</t>
  </si>
  <si>
    <t>Bảo vệ/Dự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</si>
</sst>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dd/mm/yyyy;@"/>
    <numFmt numFmtId="167" formatCode="0_);[Red]\(0\)"/>
    <numFmt numFmtId="168" formatCode="m/d/yyyy;@"/>
  </numFmts>
  <fonts count="21">
    <font>
      <sz val="11"/>
      <color theme="1"/>
      <name val="Arial"/>
      <charset val="134"/>
      <scheme val="minor"/>
    </font>
    <font>
      <b/>
      <sz val="10"/>
      <name val="Arial"/>
    </font>
    <font>
      <sz val="10"/>
      <name val="Arial"/>
    </font>
    <font>
      <b/>
      <sz val="10"/>
      <color rgb="FF212529"/>
      <name val="Arial"/>
    </font>
    <font>
      <sz val="11"/>
      <color rgb="FF212529"/>
      <name val="Arial"/>
      <charset val="134"/>
      <scheme val="minor"/>
    </font>
    <font>
      <sz val="10"/>
      <color rgb="FF212529"/>
      <name val="Arial"/>
    </font>
    <font>
      <sz val="10"/>
      <color theme="0"/>
      <name val="Arial"/>
    </font>
    <font>
      <sz val="11"/>
      <color theme="1"/>
      <name val="Arial"/>
      <scheme val="minor"/>
    </font>
    <font>
      <b/>
      <sz val="11"/>
      <color rgb="FF212529"/>
      <name val="Calibri"/>
    </font>
    <font>
      <sz val="11"/>
      <color rgb="FF000000"/>
      <name val="Calibri"/>
    </font>
    <font>
      <b/>
      <sz val="14"/>
      <name val="Arial"/>
    </font>
    <font>
      <b/>
      <sz val="11"/>
      <color rgb="FF000000"/>
      <name val="Calibri"/>
    </font>
    <font>
      <sz val="11"/>
      <name val="Calibri"/>
    </font>
    <font>
      <sz val="11"/>
      <name val="Times New Roman"/>
      <charset val="134"/>
    </font>
    <font>
      <b/>
      <sz val="12"/>
      <color rgb="FFFFFFFF"/>
      <name val="Roboto"/>
      <charset val="134"/>
    </font>
    <font>
      <sz val="12"/>
      <color rgb="FF212529"/>
      <name val="Roboto"/>
      <charset val="134"/>
    </font>
    <font>
      <sz val="12"/>
      <color rgb="FF0088CC"/>
      <name val="Roboto"/>
      <charset val="134"/>
    </font>
    <font>
      <sz val="10"/>
      <name val="Times New Roman"/>
      <charset val="134"/>
    </font>
    <font>
      <b/>
      <sz val="11"/>
      <color indexed="8"/>
      <name val="Times New Roman"/>
      <charset val="134"/>
    </font>
    <font>
      <sz val="24"/>
      <color rgb="FF212529"/>
      <name val="Roboto"/>
      <charset val="134"/>
    </font>
    <font>
      <b/>
      <sz val="12"/>
      <color rgb="FF212529"/>
      <name val="Roboto"/>
      <charset val="134"/>
    </font>
  </fonts>
  <fills count="6">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2994A"/>
        <bgColor indexed="64"/>
      </patternFill>
    </fill>
    <fill>
      <patternFill patternType="solid">
        <fgColor rgb="FFFFFFFF"/>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medium">
        <color rgb="FFDEE2E6"/>
      </top>
      <bottom/>
      <diagonal/>
    </border>
  </borders>
  <cellStyleXfs count="1">
    <xf numFmtId="0" fontId="0" fillId="0" borderId="0"/>
  </cellStyleXfs>
  <cellXfs count="63">
    <xf numFmtId="0" fontId="0" fillId="0" borderId="0" xfId="0"/>
    <xf numFmtId="0" fontId="1" fillId="0" borderId="0" xfId="0" applyFont="1"/>
    <xf numFmtId="0" fontId="2" fillId="0" borderId="0" xfId="0" applyFont="1"/>
    <xf numFmtId="0" fontId="3" fillId="0" borderId="1" xfId="0" applyFont="1" applyBorder="1" applyAlignment="1">
      <alignment horizontal="center" wrapText="1"/>
    </xf>
    <xf numFmtId="0" fontId="4" fillId="0" borderId="1" xfId="0" applyFont="1" applyBorder="1" applyAlignment="1">
      <alignment vertical="top" wrapText="1"/>
    </xf>
    <xf numFmtId="14" fontId="4" fillId="0" borderId="1" xfId="0" applyNumberFormat="1" applyFont="1" applyBorder="1" applyAlignment="1">
      <alignment vertical="top" wrapText="1"/>
    </xf>
    <xf numFmtId="0" fontId="5" fillId="0" borderId="1" xfId="0" applyFont="1" applyBorder="1" applyAlignment="1">
      <alignment vertical="top" wrapText="1"/>
    </xf>
    <xf numFmtId="0" fontId="5" fillId="0" borderId="0" xfId="0" applyFont="1" applyAlignment="1">
      <alignment vertical="top" wrapText="1"/>
    </xf>
    <xf numFmtId="14" fontId="5" fillId="0" borderId="0" xfId="0" applyNumberFormat="1" applyFont="1" applyAlignment="1">
      <alignment vertical="top" wrapText="1"/>
    </xf>
    <xf numFmtId="0" fontId="5" fillId="0" borderId="2" xfId="0" applyFont="1" applyBorder="1" applyAlignment="1">
      <alignment vertical="top" wrapText="1"/>
    </xf>
    <xf numFmtId="14" fontId="5" fillId="0" borderId="2" xfId="0" applyNumberFormat="1" applyFont="1" applyBorder="1" applyAlignment="1">
      <alignment vertical="top" wrapText="1"/>
    </xf>
    <xf numFmtId="0" fontId="6" fillId="0" borderId="0" xfId="0" applyFont="1"/>
    <xf numFmtId="166" fontId="2" fillId="0" borderId="0" xfId="0" applyNumberFormat="1" applyFont="1"/>
    <xf numFmtId="167" fontId="2" fillId="0" borderId="0" xfId="0" applyNumberFormat="1" applyFont="1"/>
    <xf numFmtId="0" fontId="7" fillId="0" borderId="0" xfId="0" applyFont="1" applyAlignment="1">
      <alignment vertical="center"/>
    </xf>
    <xf numFmtId="167" fontId="6" fillId="0" borderId="0" xfId="0" applyNumberFormat="1" applyFont="1"/>
    <xf numFmtId="0" fontId="8" fillId="0" borderId="1" xfId="0" applyFont="1" applyBorder="1" applyAlignment="1">
      <alignment vertical="center"/>
    </xf>
    <xf numFmtId="166" fontId="8" fillId="0" borderId="1" xfId="0" applyNumberFormat="1" applyFont="1" applyBorder="1" applyAlignment="1">
      <alignment vertical="center"/>
    </xf>
    <xf numFmtId="167" fontId="8" fillId="0" borderId="1" xfId="0" applyNumberFormat="1" applyFont="1" applyBorder="1" applyAlignment="1">
      <alignment vertical="center"/>
    </xf>
    <xf numFmtId="0" fontId="9" fillId="0" borderId="1" xfId="0" applyFont="1" applyBorder="1" applyAlignment="1">
      <alignment vertical="center"/>
    </xf>
    <xf numFmtId="14" fontId="5" fillId="0" borderId="1" xfId="0" applyNumberFormat="1" applyFont="1" applyBorder="1" applyAlignment="1">
      <alignment vertical="top" wrapText="1"/>
    </xf>
    <xf numFmtId="167" fontId="5" fillId="0" borderId="1" xfId="0" applyNumberFormat="1" applyFont="1" applyBorder="1" applyAlignment="1">
      <alignment vertical="top" wrapText="1"/>
    </xf>
    <xf numFmtId="0" fontId="9" fillId="0" borderId="0" xfId="0" applyFont="1"/>
    <xf numFmtId="166" fontId="9" fillId="0" borderId="0" xfId="0" applyNumberFormat="1" applyFont="1"/>
    <xf numFmtId="167" fontId="9" fillId="0" borderId="0" xfId="0" applyNumberFormat="1" applyFont="1"/>
    <xf numFmtId="166" fontId="10" fillId="0" borderId="0" xfId="0" applyNumberFormat="1" applyFont="1" applyAlignment="1">
      <alignment horizontal="center"/>
    </xf>
    <xf numFmtId="167" fontId="10" fillId="0" borderId="0" xfId="0" applyNumberFormat="1" applyFont="1" applyAlignment="1">
      <alignment horizontal="center"/>
    </xf>
    <xf numFmtId="0" fontId="2" fillId="0" borderId="1" xfId="0" applyFont="1" applyBorder="1" applyAlignment="1">
      <alignment horizontal="left"/>
    </xf>
    <xf numFmtId="167" fontId="2" fillId="0" borderId="1" xfId="0" applyNumberFormat="1" applyFont="1" applyBorder="1" applyAlignment="1">
      <alignment horizontal="left"/>
    </xf>
    <xf numFmtId="166" fontId="8" fillId="2" borderId="1" xfId="0" applyNumberFormat="1" applyFont="1" applyFill="1" applyBorder="1" applyAlignment="1">
      <alignment vertical="center"/>
    </xf>
    <xf numFmtId="0" fontId="8" fillId="2" borderId="1" xfId="0" applyFont="1" applyFill="1" applyBorder="1" applyAlignment="1">
      <alignment vertical="center"/>
    </xf>
    <xf numFmtId="0" fontId="11" fillId="0" borderId="0" xfId="0" applyFont="1"/>
    <xf numFmtId="166" fontId="9" fillId="0" borderId="1" xfId="0" applyNumberFormat="1" applyFont="1" applyBorder="1" applyAlignment="1">
      <alignment vertical="center"/>
    </xf>
    <xf numFmtId="0" fontId="12" fillId="0" borderId="1" xfId="0" applyFont="1" applyBorder="1" applyAlignment="1">
      <alignment vertical="center"/>
    </xf>
    <xf numFmtId="0" fontId="9" fillId="3" borderId="1" xfId="0" applyFont="1" applyFill="1" applyBorder="1" applyAlignment="1">
      <alignment vertical="center"/>
    </xf>
    <xf numFmtId="168" fontId="9" fillId="2" borderId="1" xfId="0" applyNumberFormat="1" applyFont="1" applyFill="1" applyBorder="1" applyAlignment="1">
      <alignment vertical="center"/>
    </xf>
    <xf numFmtId="0" fontId="9" fillId="0" borderId="0" xfId="0" applyFont="1" applyAlignment="1">
      <alignment vertical="center"/>
    </xf>
    <xf numFmtId="0" fontId="13" fillId="0" borderId="0" xfId="0" applyFont="1" applyAlignment="1">
      <alignment vertical="center"/>
    </xf>
    <xf numFmtId="0" fontId="14" fillId="4" borderId="0" xfId="0" applyFont="1" applyFill="1" applyAlignment="1">
      <alignment horizontal="center" vertical="top" wrapText="1"/>
    </xf>
    <xf numFmtId="0" fontId="15" fillId="5" borderId="2" xfId="0" applyFont="1" applyFill="1" applyBorder="1" applyAlignment="1">
      <alignment vertical="top" wrapText="1"/>
    </xf>
    <xf numFmtId="0" fontId="15" fillId="5" borderId="0" xfId="0" applyFont="1" applyFill="1" applyAlignment="1">
      <alignment vertical="top" wrapText="1"/>
    </xf>
    <xf numFmtId="0" fontId="13" fillId="0" borderId="0" xfId="0" applyFont="1" applyAlignment="1">
      <alignment horizontal="left" vertical="center" wrapText="1"/>
    </xf>
    <xf numFmtId="0" fontId="0" fillId="5" borderId="0" xfId="0" applyFill="1"/>
    <xf numFmtId="0" fontId="14" fillId="4" borderId="2" xfId="0" applyFont="1" applyFill="1" applyBorder="1" applyAlignment="1">
      <alignment horizontal="center" vertical="top" wrapText="1"/>
    </xf>
    <xf numFmtId="49" fontId="17" fillId="0" borderId="0" xfId="0" applyNumberFormat="1" applyFont="1" applyAlignment="1">
      <alignment vertical="center"/>
    </xf>
    <xf numFmtId="49" fontId="18" fillId="2" borderId="1" xfId="0" applyNumberFormat="1" applyFont="1" applyFill="1" applyBorder="1" applyAlignment="1">
      <alignment horizontal="center" vertical="center"/>
    </xf>
    <xf numFmtId="49" fontId="18" fillId="2" borderId="1" xfId="0" applyNumberFormat="1" applyFont="1" applyFill="1" applyBorder="1" applyAlignment="1">
      <alignment vertical="center"/>
    </xf>
    <xf numFmtId="49" fontId="17" fillId="0" borderId="0" xfId="0" applyNumberFormat="1" applyFont="1" applyAlignment="1">
      <alignment horizontal="center" vertical="center"/>
    </xf>
    <xf numFmtId="0" fontId="17" fillId="0" borderId="0" xfId="0" applyFont="1" applyAlignment="1">
      <alignment vertical="center"/>
    </xf>
    <xf numFmtId="0" fontId="0" fillId="5" borderId="2" xfId="0" applyFill="1" applyBorder="1"/>
    <xf numFmtId="0" fontId="13" fillId="0" borderId="0" xfId="0" applyFont="1" applyAlignment="1">
      <alignment horizontal="left" vertical="center"/>
    </xf>
    <xf numFmtId="0" fontId="13" fillId="0" borderId="0" xfId="0" applyFont="1" applyAlignment="1">
      <alignment vertical="center" wrapText="1"/>
    </xf>
    <xf numFmtId="0" fontId="13" fillId="0" borderId="0" xfId="0" applyFont="1" applyAlignment="1">
      <alignment horizontal="center" vertical="center"/>
    </xf>
    <xf numFmtId="0" fontId="15" fillId="5" borderId="1" xfId="0" applyFont="1" applyFill="1" applyBorder="1" applyAlignment="1">
      <alignment horizontal="right" wrapText="1"/>
    </xf>
    <xf numFmtId="0" fontId="15" fillId="5" borderId="1" xfId="0" applyFont="1" applyFill="1" applyBorder="1" applyAlignment="1">
      <alignment wrapText="1"/>
    </xf>
    <xf numFmtId="0" fontId="20" fillId="5" borderId="1" xfId="0" applyFont="1" applyFill="1" applyBorder="1" applyAlignment="1">
      <alignment wrapText="1"/>
    </xf>
    <xf numFmtId="0" fontId="2" fillId="0" borderId="1" xfId="0" quotePrefix="1" applyFont="1" applyBorder="1" applyAlignment="1">
      <alignment horizontal="left"/>
    </xf>
    <xf numFmtId="0" fontId="19" fillId="0" borderId="0" xfId="0" applyFont="1" applyAlignment="1">
      <alignment horizontal="center" wrapText="1"/>
    </xf>
    <xf numFmtId="0" fontId="15" fillId="5" borderId="1" xfId="0" applyFont="1" applyFill="1" applyBorder="1" applyAlignment="1">
      <alignment horizontal="right" wrapText="1"/>
    </xf>
    <xf numFmtId="0" fontId="15" fillId="5" borderId="2" xfId="0" applyFont="1" applyFill="1" applyBorder="1" applyAlignment="1">
      <alignment vertical="top" wrapText="1"/>
    </xf>
    <xf numFmtId="0" fontId="16" fillId="5" borderId="2" xfId="0" applyFont="1" applyFill="1" applyBorder="1" applyAlignment="1">
      <alignment vertical="top" wrapText="1"/>
    </xf>
    <xf numFmtId="0" fontId="9" fillId="0" borderId="0" xfId="0" applyFont="1"/>
    <xf numFmtId="166" fontId="9"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8</xdr:col>
      <xdr:colOff>526415</xdr:colOff>
      <xdr:row>1</xdr:row>
      <xdr:rowOff>0</xdr:rowOff>
    </xdr:to>
    <xdr:sp macro="" textlink="">
      <xdr:nvSpPr>
        <xdr:cNvPr id="2061" name="Host Control  13" hidden="1">
          <a:extLst>
            <a:ext uri="{63B3BB69-23CF-44E3-9099-C40C66FF867C}">
              <a14:compatExt xmlns:a14="http://schemas.microsoft.com/office/drawing/2010/main" spid="_x0000_s2061"/>
            </a:ext>
            <a:ext uri="{FF2B5EF4-FFF2-40B4-BE49-F238E27FC236}">
              <a16:creationId xmlns:a16="http://schemas.microsoft.com/office/drawing/2014/main" id="{00000000-0008-0000-0100-00000D080000}"/>
            </a:ext>
          </a:extLst>
        </xdr:cNvPr>
        <xdr:cNvSpPr/>
      </xdr:nvSpPr>
      <xdr:spPr>
        <a:xfrm>
          <a:off x="6369050" y="0"/>
          <a:ext cx="2475865" cy="266700"/>
        </a:xfrm>
        <a:prstGeom prst="rect">
          <a:avLst/>
        </a:prstGeom>
      </xdr:spPr>
    </xdr:sp>
    <xdr:clientData/>
  </xdr:twoCellAnchor>
  <xdr:twoCellAnchor editAs="oneCell">
    <xdr:from>
      <xdr:col>7</xdr:col>
      <xdr:colOff>0</xdr:colOff>
      <xdr:row>0</xdr:row>
      <xdr:rowOff>0</xdr:rowOff>
    </xdr:from>
    <xdr:to>
      <xdr:col>8</xdr:col>
      <xdr:colOff>14605</xdr:colOff>
      <xdr:row>1</xdr:row>
      <xdr:rowOff>0</xdr:rowOff>
    </xdr:to>
    <xdr:sp macro="" textlink="">
      <xdr:nvSpPr>
        <xdr:cNvPr id="2062" name="Host Control  14" hidden="1">
          <a:extLst>
            <a:ext uri="{63B3BB69-23CF-44E3-9099-C40C66FF867C}">
              <a14:compatExt xmlns:a14="http://schemas.microsoft.com/office/drawing/2010/main" spid="_x0000_s2062"/>
            </a:ext>
            <a:ext uri="{FF2B5EF4-FFF2-40B4-BE49-F238E27FC236}">
              <a16:creationId xmlns:a16="http://schemas.microsoft.com/office/drawing/2014/main" id="{00000000-0008-0000-0100-00000E080000}"/>
            </a:ext>
          </a:extLst>
        </xdr:cNvPr>
        <xdr:cNvSpPr/>
      </xdr:nvSpPr>
      <xdr:spPr>
        <a:xfrm>
          <a:off x="7448550" y="0"/>
          <a:ext cx="884555" cy="266700"/>
        </a:xfrm>
        <a:prstGeom prst="rect">
          <a:avLst/>
        </a:prstGeom>
      </xdr:spPr>
    </xdr:sp>
    <xdr:clientData/>
  </xdr:twoCellAnchor>
  <xdr:twoCellAnchor editAs="oneCell">
    <xdr:from>
      <xdr:col>8</xdr:col>
      <xdr:colOff>0</xdr:colOff>
      <xdr:row>0</xdr:row>
      <xdr:rowOff>0</xdr:rowOff>
    </xdr:from>
    <xdr:to>
      <xdr:col>9</xdr:col>
      <xdr:colOff>422910</xdr:colOff>
      <xdr:row>1</xdr:row>
      <xdr:rowOff>0</xdr:rowOff>
    </xdr:to>
    <xdr:sp macro="" textlink="">
      <xdr:nvSpPr>
        <xdr:cNvPr id="2063" name="Host Control  15" hidden="1">
          <a:extLst>
            <a:ext uri="{63B3BB69-23CF-44E3-9099-C40C66FF867C}">
              <a14:compatExt xmlns:a14="http://schemas.microsoft.com/office/drawing/2010/main" spid="_x0000_s2063"/>
            </a:ext>
            <a:ext uri="{FF2B5EF4-FFF2-40B4-BE49-F238E27FC236}">
              <a16:creationId xmlns:a16="http://schemas.microsoft.com/office/drawing/2014/main" id="{00000000-0008-0000-0100-00000F080000}"/>
            </a:ext>
          </a:extLst>
        </xdr:cNvPr>
        <xdr:cNvSpPr/>
      </xdr:nvSpPr>
      <xdr:spPr>
        <a:xfrm>
          <a:off x="8318500" y="0"/>
          <a:ext cx="103251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064" name="Host Control  16" hidden="1">
          <a:extLst>
            <a:ext uri="{63B3BB69-23CF-44E3-9099-C40C66FF867C}">
              <a14:compatExt xmlns:a14="http://schemas.microsoft.com/office/drawing/2010/main" spid="_x0000_s2064"/>
            </a:ext>
            <a:ext uri="{FF2B5EF4-FFF2-40B4-BE49-F238E27FC236}">
              <a16:creationId xmlns:a16="http://schemas.microsoft.com/office/drawing/2014/main" id="{00000000-0008-0000-0100-000010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065" name="Host Control  17" hidden="1">
          <a:extLst>
            <a:ext uri="{63B3BB69-23CF-44E3-9099-C40C66FF867C}">
              <a14:compatExt xmlns:a14="http://schemas.microsoft.com/office/drawing/2010/main" spid="_x0000_s2065"/>
            </a:ext>
            <a:ext uri="{FF2B5EF4-FFF2-40B4-BE49-F238E27FC236}">
              <a16:creationId xmlns:a16="http://schemas.microsoft.com/office/drawing/2014/main" id="{00000000-0008-0000-0100-000011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066" name="Host Control  18" hidden="1">
          <a:extLst>
            <a:ext uri="{63B3BB69-23CF-44E3-9099-C40C66FF867C}">
              <a14:compatExt xmlns:a14="http://schemas.microsoft.com/office/drawing/2010/main" spid="_x0000_s2066"/>
            </a:ext>
            <a:ext uri="{FF2B5EF4-FFF2-40B4-BE49-F238E27FC236}">
              <a16:creationId xmlns:a16="http://schemas.microsoft.com/office/drawing/2014/main" id="{00000000-0008-0000-0100-000012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067" name="Host Control  19" hidden="1">
          <a:extLst>
            <a:ext uri="{63B3BB69-23CF-44E3-9099-C40C66FF867C}">
              <a14:compatExt xmlns:a14="http://schemas.microsoft.com/office/drawing/2010/main" spid="_x0000_s2067"/>
            </a:ext>
            <a:ext uri="{FF2B5EF4-FFF2-40B4-BE49-F238E27FC236}">
              <a16:creationId xmlns:a16="http://schemas.microsoft.com/office/drawing/2014/main" id="{00000000-0008-0000-0100-000013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068" name="Host Control  20" hidden="1">
          <a:extLst>
            <a:ext uri="{63B3BB69-23CF-44E3-9099-C40C66FF867C}">
              <a14:compatExt xmlns:a14="http://schemas.microsoft.com/office/drawing/2010/main" spid="_x0000_s2068"/>
            </a:ext>
            <a:ext uri="{FF2B5EF4-FFF2-40B4-BE49-F238E27FC236}">
              <a16:creationId xmlns:a16="http://schemas.microsoft.com/office/drawing/2014/main" id="{00000000-0008-0000-0100-000014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069" name="Host Control  21" hidden="1">
          <a:extLst>
            <a:ext uri="{63B3BB69-23CF-44E3-9099-C40C66FF867C}">
              <a14:compatExt xmlns:a14="http://schemas.microsoft.com/office/drawing/2010/main" spid="_x0000_s2069"/>
            </a:ext>
            <a:ext uri="{FF2B5EF4-FFF2-40B4-BE49-F238E27FC236}">
              <a16:creationId xmlns:a16="http://schemas.microsoft.com/office/drawing/2014/main" id="{00000000-0008-0000-0100-000015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070" name="Host Control  22" hidden="1">
          <a:extLst>
            <a:ext uri="{63B3BB69-23CF-44E3-9099-C40C66FF867C}">
              <a14:compatExt xmlns:a14="http://schemas.microsoft.com/office/drawing/2010/main" spid="_x0000_s2070"/>
            </a:ext>
            <a:ext uri="{FF2B5EF4-FFF2-40B4-BE49-F238E27FC236}">
              <a16:creationId xmlns:a16="http://schemas.microsoft.com/office/drawing/2014/main" id="{00000000-0008-0000-0100-000016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071" name="Host Control  23" hidden="1">
          <a:extLst>
            <a:ext uri="{63B3BB69-23CF-44E3-9099-C40C66FF867C}">
              <a14:compatExt xmlns:a14="http://schemas.microsoft.com/office/drawing/2010/main" spid="_x0000_s2071"/>
            </a:ext>
            <a:ext uri="{FF2B5EF4-FFF2-40B4-BE49-F238E27FC236}">
              <a16:creationId xmlns:a16="http://schemas.microsoft.com/office/drawing/2014/main" id="{00000000-0008-0000-0100-000017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072" name="Host Control  24" hidden="1">
          <a:extLst>
            <a:ext uri="{63B3BB69-23CF-44E3-9099-C40C66FF867C}">
              <a14:compatExt xmlns:a14="http://schemas.microsoft.com/office/drawing/2010/main" spid="_x0000_s2072"/>
            </a:ext>
            <a:ext uri="{FF2B5EF4-FFF2-40B4-BE49-F238E27FC236}">
              <a16:creationId xmlns:a16="http://schemas.microsoft.com/office/drawing/2014/main" id="{00000000-0008-0000-0100-000018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073" name="Host Control  25" hidden="1">
          <a:extLst>
            <a:ext uri="{63B3BB69-23CF-44E3-9099-C40C66FF867C}">
              <a14:compatExt xmlns:a14="http://schemas.microsoft.com/office/drawing/2010/main" spid="_x0000_s2073"/>
            </a:ext>
            <a:ext uri="{FF2B5EF4-FFF2-40B4-BE49-F238E27FC236}">
              <a16:creationId xmlns:a16="http://schemas.microsoft.com/office/drawing/2014/main" id="{00000000-0008-0000-0100-000019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074" name="Host Control  26" hidden="1">
          <a:extLst>
            <a:ext uri="{63B3BB69-23CF-44E3-9099-C40C66FF867C}">
              <a14:compatExt xmlns:a14="http://schemas.microsoft.com/office/drawing/2010/main" spid="_x0000_s2074"/>
            </a:ext>
            <a:ext uri="{FF2B5EF4-FFF2-40B4-BE49-F238E27FC236}">
              <a16:creationId xmlns:a16="http://schemas.microsoft.com/office/drawing/2014/main" id="{00000000-0008-0000-0100-00001A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075" name="Host Control  27" hidden="1">
          <a:extLst>
            <a:ext uri="{63B3BB69-23CF-44E3-9099-C40C66FF867C}">
              <a14:compatExt xmlns:a14="http://schemas.microsoft.com/office/drawing/2010/main" spid="_x0000_s2075"/>
            </a:ext>
            <a:ext uri="{FF2B5EF4-FFF2-40B4-BE49-F238E27FC236}">
              <a16:creationId xmlns:a16="http://schemas.microsoft.com/office/drawing/2014/main" id="{00000000-0008-0000-0100-00001B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076" name="Host Control  28" hidden="1">
          <a:extLst>
            <a:ext uri="{63B3BB69-23CF-44E3-9099-C40C66FF867C}">
              <a14:compatExt xmlns:a14="http://schemas.microsoft.com/office/drawing/2010/main" spid="_x0000_s2076"/>
            </a:ext>
            <a:ext uri="{FF2B5EF4-FFF2-40B4-BE49-F238E27FC236}">
              <a16:creationId xmlns:a16="http://schemas.microsoft.com/office/drawing/2014/main" id="{00000000-0008-0000-0100-00001C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077" name="Host Control  29" hidden="1">
          <a:extLst>
            <a:ext uri="{63B3BB69-23CF-44E3-9099-C40C66FF867C}">
              <a14:compatExt xmlns:a14="http://schemas.microsoft.com/office/drawing/2010/main" spid="_x0000_s2077"/>
            </a:ext>
            <a:ext uri="{FF2B5EF4-FFF2-40B4-BE49-F238E27FC236}">
              <a16:creationId xmlns:a16="http://schemas.microsoft.com/office/drawing/2014/main" id="{00000000-0008-0000-0100-00001D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078" name="Host Control  30" hidden="1">
          <a:extLst>
            <a:ext uri="{63B3BB69-23CF-44E3-9099-C40C66FF867C}">
              <a14:compatExt xmlns:a14="http://schemas.microsoft.com/office/drawing/2010/main" spid="_x0000_s2078"/>
            </a:ext>
            <a:ext uri="{FF2B5EF4-FFF2-40B4-BE49-F238E27FC236}">
              <a16:creationId xmlns:a16="http://schemas.microsoft.com/office/drawing/2014/main" id="{00000000-0008-0000-0100-00001E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079" name="Host Control  31" hidden="1">
          <a:extLst>
            <a:ext uri="{63B3BB69-23CF-44E3-9099-C40C66FF867C}">
              <a14:compatExt xmlns:a14="http://schemas.microsoft.com/office/drawing/2010/main" spid="_x0000_s2079"/>
            </a:ext>
            <a:ext uri="{FF2B5EF4-FFF2-40B4-BE49-F238E27FC236}">
              <a16:creationId xmlns:a16="http://schemas.microsoft.com/office/drawing/2014/main" id="{00000000-0008-0000-0100-00001F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080" name="Host Control  32" hidden="1">
          <a:extLst>
            <a:ext uri="{63B3BB69-23CF-44E3-9099-C40C66FF867C}">
              <a14:compatExt xmlns:a14="http://schemas.microsoft.com/office/drawing/2010/main" spid="_x0000_s2080"/>
            </a:ext>
            <a:ext uri="{FF2B5EF4-FFF2-40B4-BE49-F238E27FC236}">
              <a16:creationId xmlns:a16="http://schemas.microsoft.com/office/drawing/2014/main" id="{00000000-0008-0000-0100-000020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081" name="Host Control  33" hidden="1">
          <a:extLst>
            <a:ext uri="{63B3BB69-23CF-44E3-9099-C40C66FF867C}">
              <a14:compatExt xmlns:a14="http://schemas.microsoft.com/office/drawing/2010/main" spid="_x0000_s2081"/>
            </a:ext>
            <a:ext uri="{FF2B5EF4-FFF2-40B4-BE49-F238E27FC236}">
              <a16:creationId xmlns:a16="http://schemas.microsoft.com/office/drawing/2014/main" id="{00000000-0008-0000-0100-000021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082" name="Host Control  34" hidden="1">
          <a:extLst>
            <a:ext uri="{63B3BB69-23CF-44E3-9099-C40C66FF867C}">
              <a14:compatExt xmlns:a14="http://schemas.microsoft.com/office/drawing/2010/main" spid="_x0000_s2082"/>
            </a:ext>
            <a:ext uri="{FF2B5EF4-FFF2-40B4-BE49-F238E27FC236}">
              <a16:creationId xmlns:a16="http://schemas.microsoft.com/office/drawing/2014/main" id="{00000000-0008-0000-0100-000022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083" name="Host Control  35" hidden="1">
          <a:extLst>
            <a:ext uri="{63B3BB69-23CF-44E3-9099-C40C66FF867C}">
              <a14:compatExt xmlns:a14="http://schemas.microsoft.com/office/drawing/2010/main" spid="_x0000_s2083"/>
            </a:ext>
            <a:ext uri="{FF2B5EF4-FFF2-40B4-BE49-F238E27FC236}">
              <a16:creationId xmlns:a16="http://schemas.microsoft.com/office/drawing/2014/main" id="{00000000-0008-0000-0100-000023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084" name="Host Control  36" hidden="1">
          <a:extLst>
            <a:ext uri="{63B3BB69-23CF-44E3-9099-C40C66FF867C}">
              <a14:compatExt xmlns:a14="http://schemas.microsoft.com/office/drawing/2010/main" spid="_x0000_s2084"/>
            </a:ext>
            <a:ext uri="{FF2B5EF4-FFF2-40B4-BE49-F238E27FC236}">
              <a16:creationId xmlns:a16="http://schemas.microsoft.com/office/drawing/2014/main" id="{00000000-0008-0000-0100-000024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085" name="Host Control  37" hidden="1">
          <a:extLst>
            <a:ext uri="{63B3BB69-23CF-44E3-9099-C40C66FF867C}">
              <a14:compatExt xmlns:a14="http://schemas.microsoft.com/office/drawing/2010/main" spid="_x0000_s2085"/>
            </a:ext>
            <a:ext uri="{FF2B5EF4-FFF2-40B4-BE49-F238E27FC236}">
              <a16:creationId xmlns:a16="http://schemas.microsoft.com/office/drawing/2014/main" id="{00000000-0008-0000-0100-000025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086" name="Host Control  38" hidden="1">
          <a:extLst>
            <a:ext uri="{63B3BB69-23CF-44E3-9099-C40C66FF867C}">
              <a14:compatExt xmlns:a14="http://schemas.microsoft.com/office/drawing/2010/main" spid="_x0000_s2086"/>
            </a:ext>
            <a:ext uri="{FF2B5EF4-FFF2-40B4-BE49-F238E27FC236}">
              <a16:creationId xmlns:a16="http://schemas.microsoft.com/office/drawing/2014/main" id="{00000000-0008-0000-0100-000026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087" name="Host Control  39" hidden="1">
          <a:extLst>
            <a:ext uri="{63B3BB69-23CF-44E3-9099-C40C66FF867C}">
              <a14:compatExt xmlns:a14="http://schemas.microsoft.com/office/drawing/2010/main" spid="_x0000_s2087"/>
            </a:ext>
            <a:ext uri="{FF2B5EF4-FFF2-40B4-BE49-F238E27FC236}">
              <a16:creationId xmlns:a16="http://schemas.microsoft.com/office/drawing/2014/main" id="{00000000-0008-0000-0100-000027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088" name="Host Control  40" hidden="1">
          <a:extLst>
            <a:ext uri="{63B3BB69-23CF-44E3-9099-C40C66FF867C}">
              <a14:compatExt xmlns:a14="http://schemas.microsoft.com/office/drawing/2010/main" spid="_x0000_s2088"/>
            </a:ext>
            <a:ext uri="{FF2B5EF4-FFF2-40B4-BE49-F238E27FC236}">
              <a16:creationId xmlns:a16="http://schemas.microsoft.com/office/drawing/2014/main" id="{00000000-0008-0000-0100-000028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089" name="Host Control  41" hidden="1">
          <a:extLst>
            <a:ext uri="{63B3BB69-23CF-44E3-9099-C40C66FF867C}">
              <a14:compatExt xmlns:a14="http://schemas.microsoft.com/office/drawing/2010/main" spid="_x0000_s2089"/>
            </a:ext>
            <a:ext uri="{FF2B5EF4-FFF2-40B4-BE49-F238E27FC236}">
              <a16:creationId xmlns:a16="http://schemas.microsoft.com/office/drawing/2014/main" id="{00000000-0008-0000-0100-000029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090" name="Host Control  42" hidden="1">
          <a:extLst>
            <a:ext uri="{63B3BB69-23CF-44E3-9099-C40C66FF867C}">
              <a14:compatExt xmlns:a14="http://schemas.microsoft.com/office/drawing/2010/main" spid="_x0000_s2090"/>
            </a:ext>
            <a:ext uri="{FF2B5EF4-FFF2-40B4-BE49-F238E27FC236}">
              <a16:creationId xmlns:a16="http://schemas.microsoft.com/office/drawing/2014/main" id="{00000000-0008-0000-0100-00002A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091" name="Host Control  43" hidden="1">
          <a:extLst>
            <a:ext uri="{63B3BB69-23CF-44E3-9099-C40C66FF867C}">
              <a14:compatExt xmlns:a14="http://schemas.microsoft.com/office/drawing/2010/main" spid="_x0000_s2091"/>
            </a:ext>
            <a:ext uri="{FF2B5EF4-FFF2-40B4-BE49-F238E27FC236}">
              <a16:creationId xmlns:a16="http://schemas.microsoft.com/office/drawing/2014/main" id="{00000000-0008-0000-0100-00002B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092" name="Host Control  44" hidden="1">
          <a:extLst>
            <a:ext uri="{63B3BB69-23CF-44E3-9099-C40C66FF867C}">
              <a14:compatExt xmlns:a14="http://schemas.microsoft.com/office/drawing/2010/main" spid="_x0000_s2092"/>
            </a:ext>
            <a:ext uri="{FF2B5EF4-FFF2-40B4-BE49-F238E27FC236}">
              <a16:creationId xmlns:a16="http://schemas.microsoft.com/office/drawing/2014/main" id="{00000000-0008-0000-0100-00002C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093" name="Host Control  45" hidden="1">
          <a:extLst>
            <a:ext uri="{63B3BB69-23CF-44E3-9099-C40C66FF867C}">
              <a14:compatExt xmlns:a14="http://schemas.microsoft.com/office/drawing/2010/main" spid="_x0000_s2093"/>
            </a:ext>
            <a:ext uri="{FF2B5EF4-FFF2-40B4-BE49-F238E27FC236}">
              <a16:creationId xmlns:a16="http://schemas.microsoft.com/office/drawing/2014/main" id="{00000000-0008-0000-0100-00002D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094" name="Host Control  46" hidden="1">
          <a:extLst>
            <a:ext uri="{63B3BB69-23CF-44E3-9099-C40C66FF867C}">
              <a14:compatExt xmlns:a14="http://schemas.microsoft.com/office/drawing/2010/main" spid="_x0000_s2094"/>
            </a:ext>
            <a:ext uri="{FF2B5EF4-FFF2-40B4-BE49-F238E27FC236}">
              <a16:creationId xmlns:a16="http://schemas.microsoft.com/office/drawing/2014/main" id="{00000000-0008-0000-0100-00002E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095" name="Host Control  47" hidden="1">
          <a:extLst>
            <a:ext uri="{63B3BB69-23CF-44E3-9099-C40C66FF867C}">
              <a14:compatExt xmlns:a14="http://schemas.microsoft.com/office/drawing/2010/main" spid="_x0000_s2095"/>
            </a:ext>
            <a:ext uri="{FF2B5EF4-FFF2-40B4-BE49-F238E27FC236}">
              <a16:creationId xmlns:a16="http://schemas.microsoft.com/office/drawing/2014/main" id="{00000000-0008-0000-0100-00002F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096" name="Host Control  48" hidden="1">
          <a:extLst>
            <a:ext uri="{63B3BB69-23CF-44E3-9099-C40C66FF867C}">
              <a14:compatExt xmlns:a14="http://schemas.microsoft.com/office/drawing/2010/main" spid="_x0000_s2096"/>
            </a:ext>
            <a:ext uri="{FF2B5EF4-FFF2-40B4-BE49-F238E27FC236}">
              <a16:creationId xmlns:a16="http://schemas.microsoft.com/office/drawing/2014/main" id="{00000000-0008-0000-0100-000030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0</xdr:row>
      <xdr:rowOff>206375</xdr:rowOff>
    </xdr:to>
    <xdr:sp macro="" textlink="">
      <xdr:nvSpPr>
        <xdr:cNvPr id="2097" name="Host Control  49" hidden="1">
          <a:extLst>
            <a:ext uri="{63B3BB69-23CF-44E3-9099-C40C66FF867C}">
              <a14:compatExt xmlns:a14="http://schemas.microsoft.com/office/drawing/2010/main" spid="_x0000_s2097"/>
            </a:ext>
            <a:ext uri="{FF2B5EF4-FFF2-40B4-BE49-F238E27FC236}">
              <a16:creationId xmlns:a16="http://schemas.microsoft.com/office/drawing/2014/main" id="{00000000-0008-0000-0100-000031080000}"/>
            </a:ext>
          </a:extLst>
        </xdr:cNvPr>
        <xdr:cNvSpPr/>
      </xdr:nvSpPr>
      <xdr:spPr>
        <a:xfrm>
          <a:off x="6369050" y="0"/>
          <a:ext cx="400050" cy="206375"/>
        </a:xfrm>
        <a:prstGeom prst="rect">
          <a:avLst/>
        </a:prstGeom>
      </xdr:spPr>
    </xdr:sp>
    <xdr:clientData/>
  </xdr:twoCellAnchor>
  <xdr:twoCellAnchor editAs="oneCell">
    <xdr:from>
      <xdr:col>7</xdr:col>
      <xdr:colOff>0</xdr:colOff>
      <xdr:row>0</xdr:row>
      <xdr:rowOff>0</xdr:rowOff>
    </xdr:from>
    <xdr:to>
      <xdr:col>8</xdr:col>
      <xdr:colOff>209550</xdr:colOff>
      <xdr:row>0</xdr:row>
      <xdr:rowOff>206375</xdr:rowOff>
    </xdr:to>
    <xdr:sp macro="" textlink="">
      <xdr:nvSpPr>
        <xdr:cNvPr id="2098" name="Host Control  50" hidden="1">
          <a:extLst>
            <a:ext uri="{63B3BB69-23CF-44E3-9099-C40C66FF867C}">
              <a14:compatExt xmlns:a14="http://schemas.microsoft.com/office/drawing/2010/main" spid="_x0000_s2098"/>
            </a:ext>
            <a:ext uri="{FF2B5EF4-FFF2-40B4-BE49-F238E27FC236}">
              <a16:creationId xmlns:a16="http://schemas.microsoft.com/office/drawing/2014/main" id="{00000000-0008-0000-0100-000032080000}"/>
            </a:ext>
          </a:extLst>
        </xdr:cNvPr>
        <xdr:cNvSpPr/>
      </xdr:nvSpPr>
      <xdr:spPr>
        <a:xfrm>
          <a:off x="7448550" y="0"/>
          <a:ext cx="1079500" cy="206375"/>
        </a:xfrm>
        <a:prstGeom prst="rect">
          <a:avLst/>
        </a:prstGeom>
      </xdr:spPr>
    </xdr:sp>
    <xdr:clientData/>
  </xdr:twoCellAnchor>
  <xdr:twoCellAnchor editAs="oneCell">
    <xdr:from>
      <xdr:col>8</xdr:col>
      <xdr:colOff>0</xdr:colOff>
      <xdr:row>0</xdr:row>
      <xdr:rowOff>0</xdr:rowOff>
    </xdr:from>
    <xdr:to>
      <xdr:col>9</xdr:col>
      <xdr:colOff>260350</xdr:colOff>
      <xdr:row>0</xdr:row>
      <xdr:rowOff>206375</xdr:rowOff>
    </xdr:to>
    <xdr:sp macro="" textlink="">
      <xdr:nvSpPr>
        <xdr:cNvPr id="2099" name="Host Control  51" hidden="1">
          <a:extLst>
            <a:ext uri="{63B3BB69-23CF-44E3-9099-C40C66FF867C}">
              <a14:compatExt xmlns:a14="http://schemas.microsoft.com/office/drawing/2010/main" spid="_x0000_s2099"/>
            </a:ext>
            <a:ext uri="{FF2B5EF4-FFF2-40B4-BE49-F238E27FC236}">
              <a16:creationId xmlns:a16="http://schemas.microsoft.com/office/drawing/2014/main" id="{00000000-0008-0000-0100-000033080000}"/>
            </a:ext>
          </a:extLst>
        </xdr:cNvPr>
        <xdr:cNvSpPr/>
      </xdr:nvSpPr>
      <xdr:spPr>
        <a:xfrm>
          <a:off x="8318500" y="0"/>
          <a:ext cx="869950" cy="206375"/>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100" name="Host Control  52" hidden="1">
          <a:extLst>
            <a:ext uri="{63B3BB69-23CF-44E3-9099-C40C66FF867C}">
              <a14:compatExt xmlns:a14="http://schemas.microsoft.com/office/drawing/2010/main" spid="_x0000_s2100"/>
            </a:ext>
            <a:ext uri="{FF2B5EF4-FFF2-40B4-BE49-F238E27FC236}">
              <a16:creationId xmlns:a16="http://schemas.microsoft.com/office/drawing/2014/main" id="{00000000-0008-0000-0100-000034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101" name="Host Control  53" hidden="1">
          <a:extLst>
            <a:ext uri="{63B3BB69-23CF-44E3-9099-C40C66FF867C}">
              <a14:compatExt xmlns:a14="http://schemas.microsoft.com/office/drawing/2010/main" spid="_x0000_s2101"/>
            </a:ext>
            <a:ext uri="{FF2B5EF4-FFF2-40B4-BE49-F238E27FC236}">
              <a16:creationId xmlns:a16="http://schemas.microsoft.com/office/drawing/2014/main" id="{00000000-0008-0000-0100-000035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102" name="Host Control  54" hidden="1">
          <a:extLst>
            <a:ext uri="{63B3BB69-23CF-44E3-9099-C40C66FF867C}">
              <a14:compatExt xmlns:a14="http://schemas.microsoft.com/office/drawing/2010/main" spid="_x0000_s2102"/>
            </a:ext>
            <a:ext uri="{FF2B5EF4-FFF2-40B4-BE49-F238E27FC236}">
              <a16:creationId xmlns:a16="http://schemas.microsoft.com/office/drawing/2014/main" id="{00000000-0008-0000-0100-000036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103" name="Host Control  55" hidden="1">
          <a:extLst>
            <a:ext uri="{63B3BB69-23CF-44E3-9099-C40C66FF867C}">
              <a14:compatExt xmlns:a14="http://schemas.microsoft.com/office/drawing/2010/main" spid="_x0000_s2103"/>
            </a:ext>
            <a:ext uri="{FF2B5EF4-FFF2-40B4-BE49-F238E27FC236}">
              <a16:creationId xmlns:a16="http://schemas.microsoft.com/office/drawing/2014/main" id="{00000000-0008-0000-0100-000037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104" name="Host Control  56" hidden="1">
          <a:extLst>
            <a:ext uri="{63B3BB69-23CF-44E3-9099-C40C66FF867C}">
              <a14:compatExt xmlns:a14="http://schemas.microsoft.com/office/drawing/2010/main" spid="_x0000_s2104"/>
            </a:ext>
            <a:ext uri="{FF2B5EF4-FFF2-40B4-BE49-F238E27FC236}">
              <a16:creationId xmlns:a16="http://schemas.microsoft.com/office/drawing/2014/main" id="{00000000-0008-0000-0100-000038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105" name="Host Control  57" hidden="1">
          <a:extLst>
            <a:ext uri="{63B3BB69-23CF-44E3-9099-C40C66FF867C}">
              <a14:compatExt xmlns:a14="http://schemas.microsoft.com/office/drawing/2010/main" spid="_x0000_s2105"/>
            </a:ext>
            <a:ext uri="{FF2B5EF4-FFF2-40B4-BE49-F238E27FC236}">
              <a16:creationId xmlns:a16="http://schemas.microsoft.com/office/drawing/2014/main" id="{00000000-0008-0000-0100-000039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106" name="Host Control  58" hidden="1">
          <a:extLst>
            <a:ext uri="{63B3BB69-23CF-44E3-9099-C40C66FF867C}">
              <a14:compatExt xmlns:a14="http://schemas.microsoft.com/office/drawing/2010/main" spid="_x0000_s2106"/>
            </a:ext>
            <a:ext uri="{FF2B5EF4-FFF2-40B4-BE49-F238E27FC236}">
              <a16:creationId xmlns:a16="http://schemas.microsoft.com/office/drawing/2014/main" id="{00000000-0008-0000-0100-00003A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107" name="Host Control  59" hidden="1">
          <a:extLst>
            <a:ext uri="{63B3BB69-23CF-44E3-9099-C40C66FF867C}">
              <a14:compatExt xmlns:a14="http://schemas.microsoft.com/office/drawing/2010/main" spid="_x0000_s2107"/>
            </a:ext>
            <a:ext uri="{FF2B5EF4-FFF2-40B4-BE49-F238E27FC236}">
              <a16:creationId xmlns:a16="http://schemas.microsoft.com/office/drawing/2014/main" id="{00000000-0008-0000-0100-00003B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108" name="Host Control  60" hidden="1">
          <a:extLst>
            <a:ext uri="{63B3BB69-23CF-44E3-9099-C40C66FF867C}">
              <a14:compatExt xmlns:a14="http://schemas.microsoft.com/office/drawing/2010/main" spid="_x0000_s2108"/>
            </a:ext>
            <a:ext uri="{FF2B5EF4-FFF2-40B4-BE49-F238E27FC236}">
              <a16:creationId xmlns:a16="http://schemas.microsoft.com/office/drawing/2014/main" id="{00000000-0008-0000-0100-00003C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109" name="Host Control  61" hidden="1">
          <a:extLst>
            <a:ext uri="{63B3BB69-23CF-44E3-9099-C40C66FF867C}">
              <a14:compatExt xmlns:a14="http://schemas.microsoft.com/office/drawing/2010/main" spid="_x0000_s2109"/>
            </a:ext>
            <a:ext uri="{FF2B5EF4-FFF2-40B4-BE49-F238E27FC236}">
              <a16:creationId xmlns:a16="http://schemas.microsoft.com/office/drawing/2014/main" id="{00000000-0008-0000-0100-00003D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110" name="Host Control  62" hidden="1">
          <a:extLst>
            <a:ext uri="{63B3BB69-23CF-44E3-9099-C40C66FF867C}">
              <a14:compatExt xmlns:a14="http://schemas.microsoft.com/office/drawing/2010/main" spid="_x0000_s2110"/>
            </a:ext>
            <a:ext uri="{FF2B5EF4-FFF2-40B4-BE49-F238E27FC236}">
              <a16:creationId xmlns:a16="http://schemas.microsoft.com/office/drawing/2014/main" id="{00000000-0008-0000-0100-00003E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111" name="Host Control  63" hidden="1">
          <a:extLst>
            <a:ext uri="{63B3BB69-23CF-44E3-9099-C40C66FF867C}">
              <a14:compatExt xmlns:a14="http://schemas.microsoft.com/office/drawing/2010/main" spid="_x0000_s2111"/>
            </a:ext>
            <a:ext uri="{FF2B5EF4-FFF2-40B4-BE49-F238E27FC236}">
              <a16:creationId xmlns:a16="http://schemas.microsoft.com/office/drawing/2014/main" id="{00000000-0008-0000-0100-00003F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112" name="Host Control  64" hidden="1">
          <a:extLst>
            <a:ext uri="{63B3BB69-23CF-44E3-9099-C40C66FF867C}">
              <a14:compatExt xmlns:a14="http://schemas.microsoft.com/office/drawing/2010/main" spid="_x0000_s2112"/>
            </a:ext>
            <a:ext uri="{FF2B5EF4-FFF2-40B4-BE49-F238E27FC236}">
              <a16:creationId xmlns:a16="http://schemas.microsoft.com/office/drawing/2014/main" id="{00000000-0008-0000-0100-000040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113" name="Host Control  65" hidden="1">
          <a:extLst>
            <a:ext uri="{63B3BB69-23CF-44E3-9099-C40C66FF867C}">
              <a14:compatExt xmlns:a14="http://schemas.microsoft.com/office/drawing/2010/main" spid="_x0000_s2113"/>
            </a:ext>
            <a:ext uri="{FF2B5EF4-FFF2-40B4-BE49-F238E27FC236}">
              <a16:creationId xmlns:a16="http://schemas.microsoft.com/office/drawing/2014/main" id="{00000000-0008-0000-0100-000041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114" name="Host Control  66" hidden="1">
          <a:extLst>
            <a:ext uri="{63B3BB69-23CF-44E3-9099-C40C66FF867C}">
              <a14:compatExt xmlns:a14="http://schemas.microsoft.com/office/drawing/2010/main" spid="_x0000_s2114"/>
            </a:ext>
            <a:ext uri="{FF2B5EF4-FFF2-40B4-BE49-F238E27FC236}">
              <a16:creationId xmlns:a16="http://schemas.microsoft.com/office/drawing/2014/main" id="{00000000-0008-0000-0100-000042080000}"/>
            </a:ext>
          </a:extLst>
        </xdr:cNvPr>
        <xdr:cNvSpPr/>
      </xdr:nvSpPr>
      <xdr:spPr>
        <a:xfrm>
          <a:off x="8318500" y="0"/>
          <a:ext cx="869950" cy="266700"/>
        </a:xfrm>
        <a:prstGeom prst="rect">
          <a:avLst/>
        </a:prstGeom>
      </xdr:spPr>
    </xdr:sp>
    <xdr:clientData/>
  </xdr:twoCellAnchor>
  <xdr:twoCellAnchor editAs="oneCell">
    <xdr:from>
      <xdr:col>6</xdr:col>
      <xdr:colOff>0</xdr:colOff>
      <xdr:row>0</xdr:row>
      <xdr:rowOff>0</xdr:rowOff>
    </xdr:from>
    <xdr:to>
      <xdr:col>6</xdr:col>
      <xdr:colOff>400050</xdr:colOff>
      <xdr:row>0</xdr:row>
      <xdr:rowOff>206375</xdr:rowOff>
    </xdr:to>
    <xdr:sp macro="" textlink="">
      <xdr:nvSpPr>
        <xdr:cNvPr id="2115" name="Host Control  67" hidden="1">
          <a:extLst>
            <a:ext uri="{63B3BB69-23CF-44E3-9099-C40C66FF867C}">
              <a14:compatExt xmlns:a14="http://schemas.microsoft.com/office/drawing/2010/main" spid="_x0000_s2115"/>
            </a:ext>
            <a:ext uri="{FF2B5EF4-FFF2-40B4-BE49-F238E27FC236}">
              <a16:creationId xmlns:a16="http://schemas.microsoft.com/office/drawing/2014/main" id="{00000000-0008-0000-0100-000043080000}"/>
            </a:ext>
          </a:extLst>
        </xdr:cNvPr>
        <xdr:cNvSpPr/>
      </xdr:nvSpPr>
      <xdr:spPr>
        <a:xfrm>
          <a:off x="6369050" y="0"/>
          <a:ext cx="400050" cy="206375"/>
        </a:xfrm>
        <a:prstGeom prst="rect">
          <a:avLst/>
        </a:prstGeom>
      </xdr:spPr>
    </xdr:sp>
    <xdr:clientData/>
  </xdr:twoCellAnchor>
  <xdr:twoCellAnchor editAs="oneCell">
    <xdr:from>
      <xdr:col>7</xdr:col>
      <xdr:colOff>0</xdr:colOff>
      <xdr:row>0</xdr:row>
      <xdr:rowOff>0</xdr:rowOff>
    </xdr:from>
    <xdr:to>
      <xdr:col>8</xdr:col>
      <xdr:colOff>209550</xdr:colOff>
      <xdr:row>0</xdr:row>
      <xdr:rowOff>206375</xdr:rowOff>
    </xdr:to>
    <xdr:sp macro="" textlink="">
      <xdr:nvSpPr>
        <xdr:cNvPr id="2116" name="Host Control  68" hidden="1">
          <a:extLst>
            <a:ext uri="{63B3BB69-23CF-44E3-9099-C40C66FF867C}">
              <a14:compatExt xmlns:a14="http://schemas.microsoft.com/office/drawing/2010/main" spid="_x0000_s2116"/>
            </a:ext>
            <a:ext uri="{FF2B5EF4-FFF2-40B4-BE49-F238E27FC236}">
              <a16:creationId xmlns:a16="http://schemas.microsoft.com/office/drawing/2014/main" id="{00000000-0008-0000-0100-000044080000}"/>
            </a:ext>
          </a:extLst>
        </xdr:cNvPr>
        <xdr:cNvSpPr/>
      </xdr:nvSpPr>
      <xdr:spPr>
        <a:xfrm>
          <a:off x="7448550" y="0"/>
          <a:ext cx="1079500" cy="206375"/>
        </a:xfrm>
        <a:prstGeom prst="rect">
          <a:avLst/>
        </a:prstGeom>
      </xdr:spPr>
    </xdr:sp>
    <xdr:clientData/>
  </xdr:twoCellAnchor>
  <xdr:twoCellAnchor editAs="oneCell">
    <xdr:from>
      <xdr:col>8</xdr:col>
      <xdr:colOff>0</xdr:colOff>
      <xdr:row>0</xdr:row>
      <xdr:rowOff>0</xdr:rowOff>
    </xdr:from>
    <xdr:to>
      <xdr:col>9</xdr:col>
      <xdr:colOff>260350</xdr:colOff>
      <xdr:row>0</xdr:row>
      <xdr:rowOff>206375</xdr:rowOff>
    </xdr:to>
    <xdr:sp macro="" textlink="">
      <xdr:nvSpPr>
        <xdr:cNvPr id="2117" name="Host Control  69" hidden="1">
          <a:extLst>
            <a:ext uri="{63B3BB69-23CF-44E3-9099-C40C66FF867C}">
              <a14:compatExt xmlns:a14="http://schemas.microsoft.com/office/drawing/2010/main" spid="_x0000_s2117"/>
            </a:ext>
            <a:ext uri="{FF2B5EF4-FFF2-40B4-BE49-F238E27FC236}">
              <a16:creationId xmlns:a16="http://schemas.microsoft.com/office/drawing/2014/main" id="{00000000-0008-0000-0100-000045080000}"/>
            </a:ext>
          </a:extLst>
        </xdr:cNvPr>
        <xdr:cNvSpPr/>
      </xdr:nvSpPr>
      <xdr:spPr>
        <a:xfrm>
          <a:off x="8318500" y="0"/>
          <a:ext cx="869950" cy="206375"/>
        </a:xfrm>
        <a:prstGeom prst="rect">
          <a:avLst/>
        </a:prstGeom>
      </xdr:spPr>
    </xdr:sp>
    <xdr:clientData/>
  </xdr:twoCellAnchor>
  <xdr:twoCellAnchor editAs="oneCell">
    <xdr:from>
      <xdr:col>6</xdr:col>
      <xdr:colOff>0</xdr:colOff>
      <xdr:row>0</xdr:row>
      <xdr:rowOff>0</xdr:rowOff>
    </xdr:from>
    <xdr:to>
      <xdr:col>6</xdr:col>
      <xdr:colOff>400050</xdr:colOff>
      <xdr:row>1</xdr:row>
      <xdr:rowOff>0</xdr:rowOff>
    </xdr:to>
    <xdr:sp macro="" textlink="">
      <xdr:nvSpPr>
        <xdr:cNvPr id="2118" name="Host Control  70" hidden="1">
          <a:extLst>
            <a:ext uri="{63B3BB69-23CF-44E3-9099-C40C66FF867C}">
              <a14:compatExt xmlns:a14="http://schemas.microsoft.com/office/drawing/2010/main" spid="_x0000_s2118"/>
            </a:ext>
            <a:ext uri="{FF2B5EF4-FFF2-40B4-BE49-F238E27FC236}">
              <a16:creationId xmlns:a16="http://schemas.microsoft.com/office/drawing/2014/main" id="{00000000-0008-0000-0100-000046080000}"/>
            </a:ext>
          </a:extLst>
        </xdr:cNvPr>
        <xdr:cNvSpPr/>
      </xdr:nvSpPr>
      <xdr:spPr>
        <a:xfrm>
          <a:off x="6369050" y="0"/>
          <a:ext cx="400050" cy="266700"/>
        </a:xfrm>
        <a:prstGeom prst="rect">
          <a:avLst/>
        </a:prstGeom>
      </xdr:spPr>
    </xdr:sp>
    <xdr:clientData/>
  </xdr:twoCellAnchor>
  <xdr:twoCellAnchor editAs="oneCell">
    <xdr:from>
      <xdr:col>7</xdr:col>
      <xdr:colOff>0</xdr:colOff>
      <xdr:row>0</xdr:row>
      <xdr:rowOff>0</xdr:rowOff>
    </xdr:from>
    <xdr:to>
      <xdr:col>8</xdr:col>
      <xdr:colOff>209550</xdr:colOff>
      <xdr:row>1</xdr:row>
      <xdr:rowOff>0</xdr:rowOff>
    </xdr:to>
    <xdr:sp macro="" textlink="">
      <xdr:nvSpPr>
        <xdr:cNvPr id="2119" name="Host Control  71" hidden="1">
          <a:extLst>
            <a:ext uri="{63B3BB69-23CF-44E3-9099-C40C66FF867C}">
              <a14:compatExt xmlns:a14="http://schemas.microsoft.com/office/drawing/2010/main" spid="_x0000_s2119"/>
            </a:ext>
            <a:ext uri="{FF2B5EF4-FFF2-40B4-BE49-F238E27FC236}">
              <a16:creationId xmlns:a16="http://schemas.microsoft.com/office/drawing/2014/main" id="{00000000-0008-0000-0100-000047080000}"/>
            </a:ext>
          </a:extLst>
        </xdr:cNvPr>
        <xdr:cNvSpPr/>
      </xdr:nvSpPr>
      <xdr:spPr>
        <a:xfrm>
          <a:off x="7448550" y="0"/>
          <a:ext cx="1079500" cy="266700"/>
        </a:xfrm>
        <a:prstGeom prst="rect">
          <a:avLst/>
        </a:prstGeom>
      </xdr:spPr>
    </xdr:sp>
    <xdr:clientData/>
  </xdr:twoCellAnchor>
  <xdr:twoCellAnchor editAs="oneCell">
    <xdr:from>
      <xdr:col>8</xdr:col>
      <xdr:colOff>0</xdr:colOff>
      <xdr:row>0</xdr:row>
      <xdr:rowOff>0</xdr:rowOff>
    </xdr:from>
    <xdr:to>
      <xdr:col>9</xdr:col>
      <xdr:colOff>260350</xdr:colOff>
      <xdr:row>1</xdr:row>
      <xdr:rowOff>0</xdr:rowOff>
    </xdr:to>
    <xdr:sp macro="" textlink="">
      <xdr:nvSpPr>
        <xdr:cNvPr id="2120" name="Host Control  72" hidden="1">
          <a:extLst>
            <a:ext uri="{63B3BB69-23CF-44E3-9099-C40C66FF867C}">
              <a14:compatExt xmlns:a14="http://schemas.microsoft.com/office/drawing/2010/main" spid="_x0000_s2120"/>
            </a:ext>
            <a:ext uri="{FF2B5EF4-FFF2-40B4-BE49-F238E27FC236}">
              <a16:creationId xmlns:a16="http://schemas.microsoft.com/office/drawing/2014/main" id="{00000000-0008-0000-0100-000048080000}"/>
            </a:ext>
          </a:extLst>
        </xdr:cNvPr>
        <xdr:cNvSpPr/>
      </xdr:nvSpPr>
      <xdr:spPr>
        <a:xfrm>
          <a:off x="8318500" y="0"/>
          <a:ext cx="869950" cy="266700"/>
        </a:xfrm>
        <a:prstGeom prst="rect">
          <a:avLst/>
        </a:prstGeom>
      </xdr:spPr>
    </xdr:sp>
    <xdr:clientData/>
  </xdr:twoCellAnchor>
  <xdr:twoCellAnchor editAs="oneCell">
    <xdr:from>
      <xdr:col>6</xdr:col>
      <xdr:colOff>0</xdr:colOff>
      <xdr:row>1</xdr:row>
      <xdr:rowOff>0</xdr:rowOff>
    </xdr:from>
    <xdr:to>
      <xdr:col>6</xdr:col>
      <xdr:colOff>400050</xdr:colOff>
      <xdr:row>2</xdr:row>
      <xdr:rowOff>0</xdr:rowOff>
    </xdr:to>
    <xdr:sp macro="" textlink="">
      <xdr:nvSpPr>
        <xdr:cNvPr id="2121" name="Host Control  73" hidden="1">
          <a:extLst>
            <a:ext uri="{63B3BB69-23CF-44E3-9099-C40C66FF867C}">
              <a14:compatExt xmlns:a14="http://schemas.microsoft.com/office/drawing/2010/main" spid="_x0000_s2121"/>
            </a:ext>
            <a:ext uri="{FF2B5EF4-FFF2-40B4-BE49-F238E27FC236}">
              <a16:creationId xmlns:a16="http://schemas.microsoft.com/office/drawing/2014/main" id="{00000000-0008-0000-0100-000049080000}"/>
            </a:ext>
          </a:extLst>
        </xdr:cNvPr>
        <xdr:cNvSpPr/>
      </xdr:nvSpPr>
      <xdr:spPr>
        <a:xfrm>
          <a:off x="6369050" y="266700"/>
          <a:ext cx="400050" cy="266700"/>
        </a:xfrm>
        <a:prstGeom prst="rect">
          <a:avLst/>
        </a:prstGeom>
      </xdr:spPr>
    </xdr:sp>
    <xdr:clientData/>
  </xdr:twoCellAnchor>
  <xdr:twoCellAnchor editAs="oneCell">
    <xdr:from>
      <xdr:col>7</xdr:col>
      <xdr:colOff>0</xdr:colOff>
      <xdr:row>1</xdr:row>
      <xdr:rowOff>0</xdr:rowOff>
    </xdr:from>
    <xdr:to>
      <xdr:col>8</xdr:col>
      <xdr:colOff>209550</xdr:colOff>
      <xdr:row>2</xdr:row>
      <xdr:rowOff>0</xdr:rowOff>
    </xdr:to>
    <xdr:sp macro="" textlink="">
      <xdr:nvSpPr>
        <xdr:cNvPr id="2122" name="Host Control  74" hidden="1">
          <a:extLst>
            <a:ext uri="{63B3BB69-23CF-44E3-9099-C40C66FF867C}">
              <a14:compatExt xmlns:a14="http://schemas.microsoft.com/office/drawing/2010/main" spid="_x0000_s2122"/>
            </a:ext>
            <a:ext uri="{FF2B5EF4-FFF2-40B4-BE49-F238E27FC236}">
              <a16:creationId xmlns:a16="http://schemas.microsoft.com/office/drawing/2014/main" id="{00000000-0008-0000-0100-00004A080000}"/>
            </a:ext>
          </a:extLst>
        </xdr:cNvPr>
        <xdr:cNvSpPr/>
      </xdr:nvSpPr>
      <xdr:spPr>
        <a:xfrm>
          <a:off x="7448550" y="266700"/>
          <a:ext cx="1079500" cy="266700"/>
        </a:xfrm>
        <a:prstGeom prst="rect">
          <a:avLst/>
        </a:prstGeom>
      </xdr:spPr>
    </xdr:sp>
    <xdr:clientData/>
  </xdr:twoCellAnchor>
  <xdr:twoCellAnchor editAs="oneCell">
    <xdr:from>
      <xdr:col>8</xdr:col>
      <xdr:colOff>0</xdr:colOff>
      <xdr:row>1</xdr:row>
      <xdr:rowOff>0</xdr:rowOff>
    </xdr:from>
    <xdr:to>
      <xdr:col>9</xdr:col>
      <xdr:colOff>260350</xdr:colOff>
      <xdr:row>2</xdr:row>
      <xdr:rowOff>0</xdr:rowOff>
    </xdr:to>
    <xdr:sp macro="" textlink="">
      <xdr:nvSpPr>
        <xdr:cNvPr id="2123" name="Host Control  75" hidden="1">
          <a:extLst>
            <a:ext uri="{63B3BB69-23CF-44E3-9099-C40C66FF867C}">
              <a14:compatExt xmlns:a14="http://schemas.microsoft.com/office/drawing/2010/main" spid="_x0000_s2123"/>
            </a:ext>
            <a:ext uri="{FF2B5EF4-FFF2-40B4-BE49-F238E27FC236}">
              <a16:creationId xmlns:a16="http://schemas.microsoft.com/office/drawing/2014/main" id="{00000000-0008-0000-0100-00004B080000}"/>
            </a:ext>
          </a:extLst>
        </xdr:cNvPr>
        <xdr:cNvSpPr/>
      </xdr:nvSpPr>
      <xdr:spPr>
        <a:xfrm>
          <a:off x="8318500" y="266700"/>
          <a:ext cx="869950" cy="266700"/>
        </a:xfrm>
        <a:prstGeom prst="rect">
          <a:avLst/>
        </a:prstGeom>
      </xdr:spPr>
    </xdr:sp>
    <xdr:clientData/>
  </xdr:twoCellAnchor>
  <xdr:twoCellAnchor editAs="oneCell">
    <xdr:from>
      <xdr:col>6</xdr:col>
      <xdr:colOff>0</xdr:colOff>
      <xdr:row>2</xdr:row>
      <xdr:rowOff>0</xdr:rowOff>
    </xdr:from>
    <xdr:to>
      <xdr:col>6</xdr:col>
      <xdr:colOff>400050</xdr:colOff>
      <xdr:row>3</xdr:row>
      <xdr:rowOff>0</xdr:rowOff>
    </xdr:to>
    <xdr:sp macro="" textlink="">
      <xdr:nvSpPr>
        <xdr:cNvPr id="2124" name="Host Control  76" hidden="1">
          <a:extLst>
            <a:ext uri="{63B3BB69-23CF-44E3-9099-C40C66FF867C}">
              <a14:compatExt xmlns:a14="http://schemas.microsoft.com/office/drawing/2010/main" spid="_x0000_s2124"/>
            </a:ext>
            <a:ext uri="{FF2B5EF4-FFF2-40B4-BE49-F238E27FC236}">
              <a16:creationId xmlns:a16="http://schemas.microsoft.com/office/drawing/2014/main" id="{00000000-0008-0000-0100-00004C080000}"/>
            </a:ext>
          </a:extLst>
        </xdr:cNvPr>
        <xdr:cNvSpPr/>
      </xdr:nvSpPr>
      <xdr:spPr>
        <a:xfrm>
          <a:off x="6369050" y="533400"/>
          <a:ext cx="400050" cy="266700"/>
        </a:xfrm>
        <a:prstGeom prst="rect">
          <a:avLst/>
        </a:prstGeom>
      </xdr:spPr>
    </xdr:sp>
    <xdr:clientData/>
  </xdr:twoCellAnchor>
  <xdr:twoCellAnchor editAs="oneCell">
    <xdr:from>
      <xdr:col>7</xdr:col>
      <xdr:colOff>0</xdr:colOff>
      <xdr:row>2</xdr:row>
      <xdr:rowOff>0</xdr:rowOff>
    </xdr:from>
    <xdr:to>
      <xdr:col>8</xdr:col>
      <xdr:colOff>209550</xdr:colOff>
      <xdr:row>3</xdr:row>
      <xdr:rowOff>0</xdr:rowOff>
    </xdr:to>
    <xdr:sp macro="" textlink="">
      <xdr:nvSpPr>
        <xdr:cNvPr id="2125" name="Host Control  77" hidden="1">
          <a:extLst>
            <a:ext uri="{63B3BB69-23CF-44E3-9099-C40C66FF867C}">
              <a14:compatExt xmlns:a14="http://schemas.microsoft.com/office/drawing/2010/main" spid="_x0000_s2125"/>
            </a:ext>
            <a:ext uri="{FF2B5EF4-FFF2-40B4-BE49-F238E27FC236}">
              <a16:creationId xmlns:a16="http://schemas.microsoft.com/office/drawing/2014/main" id="{00000000-0008-0000-0100-00004D080000}"/>
            </a:ext>
          </a:extLst>
        </xdr:cNvPr>
        <xdr:cNvSpPr/>
      </xdr:nvSpPr>
      <xdr:spPr>
        <a:xfrm>
          <a:off x="7448550" y="533400"/>
          <a:ext cx="1079500" cy="266700"/>
        </a:xfrm>
        <a:prstGeom prst="rect">
          <a:avLst/>
        </a:prstGeom>
      </xdr:spPr>
    </xdr:sp>
    <xdr:clientData/>
  </xdr:twoCellAnchor>
  <xdr:twoCellAnchor editAs="oneCell">
    <xdr:from>
      <xdr:col>8</xdr:col>
      <xdr:colOff>0</xdr:colOff>
      <xdr:row>2</xdr:row>
      <xdr:rowOff>0</xdr:rowOff>
    </xdr:from>
    <xdr:to>
      <xdr:col>9</xdr:col>
      <xdr:colOff>260350</xdr:colOff>
      <xdr:row>3</xdr:row>
      <xdr:rowOff>0</xdr:rowOff>
    </xdr:to>
    <xdr:sp macro="" textlink="">
      <xdr:nvSpPr>
        <xdr:cNvPr id="2126" name="Host Control  78" hidden="1">
          <a:extLst>
            <a:ext uri="{63B3BB69-23CF-44E3-9099-C40C66FF867C}">
              <a14:compatExt xmlns:a14="http://schemas.microsoft.com/office/drawing/2010/main" spid="_x0000_s2126"/>
            </a:ext>
            <a:ext uri="{FF2B5EF4-FFF2-40B4-BE49-F238E27FC236}">
              <a16:creationId xmlns:a16="http://schemas.microsoft.com/office/drawing/2014/main" id="{00000000-0008-0000-0100-00004E080000}"/>
            </a:ext>
          </a:extLst>
        </xdr:cNvPr>
        <xdr:cNvSpPr/>
      </xdr:nvSpPr>
      <xdr:spPr>
        <a:xfrm>
          <a:off x="8318500" y="533400"/>
          <a:ext cx="869950" cy="266700"/>
        </a:xfrm>
        <a:prstGeom prst="rect">
          <a:avLst/>
        </a:prstGeom>
      </xdr:spPr>
    </xdr:sp>
    <xdr:clientData/>
  </xdr:twoCellAnchor>
  <xdr:twoCellAnchor editAs="oneCell">
    <xdr:from>
      <xdr:col>6</xdr:col>
      <xdr:colOff>0</xdr:colOff>
      <xdr:row>3</xdr:row>
      <xdr:rowOff>0</xdr:rowOff>
    </xdr:from>
    <xdr:to>
      <xdr:col>6</xdr:col>
      <xdr:colOff>400050</xdr:colOff>
      <xdr:row>4</xdr:row>
      <xdr:rowOff>0</xdr:rowOff>
    </xdr:to>
    <xdr:sp macro="" textlink="">
      <xdr:nvSpPr>
        <xdr:cNvPr id="2127" name="Host Control  79" hidden="1">
          <a:extLst>
            <a:ext uri="{63B3BB69-23CF-44E3-9099-C40C66FF867C}">
              <a14:compatExt xmlns:a14="http://schemas.microsoft.com/office/drawing/2010/main" spid="_x0000_s2127"/>
            </a:ext>
            <a:ext uri="{FF2B5EF4-FFF2-40B4-BE49-F238E27FC236}">
              <a16:creationId xmlns:a16="http://schemas.microsoft.com/office/drawing/2014/main" id="{00000000-0008-0000-0100-00004F080000}"/>
            </a:ext>
          </a:extLst>
        </xdr:cNvPr>
        <xdr:cNvSpPr/>
      </xdr:nvSpPr>
      <xdr:spPr>
        <a:xfrm>
          <a:off x="6369050" y="800100"/>
          <a:ext cx="400050" cy="266700"/>
        </a:xfrm>
        <a:prstGeom prst="rect">
          <a:avLst/>
        </a:prstGeom>
      </xdr:spPr>
    </xdr:sp>
    <xdr:clientData/>
  </xdr:twoCellAnchor>
  <xdr:twoCellAnchor editAs="oneCell">
    <xdr:from>
      <xdr:col>7</xdr:col>
      <xdr:colOff>0</xdr:colOff>
      <xdr:row>3</xdr:row>
      <xdr:rowOff>0</xdr:rowOff>
    </xdr:from>
    <xdr:to>
      <xdr:col>8</xdr:col>
      <xdr:colOff>209550</xdr:colOff>
      <xdr:row>4</xdr:row>
      <xdr:rowOff>0</xdr:rowOff>
    </xdr:to>
    <xdr:sp macro="" textlink="">
      <xdr:nvSpPr>
        <xdr:cNvPr id="2128" name="Host Control  80" hidden="1">
          <a:extLst>
            <a:ext uri="{63B3BB69-23CF-44E3-9099-C40C66FF867C}">
              <a14:compatExt xmlns:a14="http://schemas.microsoft.com/office/drawing/2010/main" spid="_x0000_s2128"/>
            </a:ext>
            <a:ext uri="{FF2B5EF4-FFF2-40B4-BE49-F238E27FC236}">
              <a16:creationId xmlns:a16="http://schemas.microsoft.com/office/drawing/2014/main" id="{00000000-0008-0000-0100-000050080000}"/>
            </a:ext>
          </a:extLst>
        </xdr:cNvPr>
        <xdr:cNvSpPr/>
      </xdr:nvSpPr>
      <xdr:spPr>
        <a:xfrm>
          <a:off x="7448550" y="800100"/>
          <a:ext cx="1079500" cy="266700"/>
        </a:xfrm>
        <a:prstGeom prst="rect">
          <a:avLst/>
        </a:prstGeom>
      </xdr:spPr>
    </xdr:sp>
    <xdr:clientData/>
  </xdr:twoCellAnchor>
  <xdr:twoCellAnchor editAs="oneCell">
    <xdr:from>
      <xdr:col>8</xdr:col>
      <xdr:colOff>0</xdr:colOff>
      <xdr:row>3</xdr:row>
      <xdr:rowOff>0</xdr:rowOff>
    </xdr:from>
    <xdr:to>
      <xdr:col>9</xdr:col>
      <xdr:colOff>260350</xdr:colOff>
      <xdr:row>4</xdr:row>
      <xdr:rowOff>0</xdr:rowOff>
    </xdr:to>
    <xdr:sp macro="" textlink="">
      <xdr:nvSpPr>
        <xdr:cNvPr id="2129" name="Host Control  81" hidden="1">
          <a:extLst>
            <a:ext uri="{63B3BB69-23CF-44E3-9099-C40C66FF867C}">
              <a14:compatExt xmlns:a14="http://schemas.microsoft.com/office/drawing/2010/main" spid="_x0000_s2129"/>
            </a:ext>
            <a:ext uri="{FF2B5EF4-FFF2-40B4-BE49-F238E27FC236}">
              <a16:creationId xmlns:a16="http://schemas.microsoft.com/office/drawing/2014/main" id="{00000000-0008-0000-0100-000051080000}"/>
            </a:ext>
          </a:extLst>
        </xdr:cNvPr>
        <xdr:cNvSpPr/>
      </xdr:nvSpPr>
      <xdr:spPr>
        <a:xfrm>
          <a:off x="8318500" y="800100"/>
          <a:ext cx="869950" cy="266700"/>
        </a:xfrm>
        <a:prstGeom prst="rect">
          <a:avLst/>
        </a:prstGeom>
      </xdr:spPr>
    </xdr:sp>
    <xdr:clientData/>
  </xdr:twoCellAnchor>
  <xdr:twoCellAnchor editAs="oneCell">
    <xdr:from>
      <xdr:col>6</xdr:col>
      <xdr:colOff>0</xdr:colOff>
      <xdr:row>4</xdr:row>
      <xdr:rowOff>0</xdr:rowOff>
    </xdr:from>
    <xdr:to>
      <xdr:col>6</xdr:col>
      <xdr:colOff>400050</xdr:colOff>
      <xdr:row>5</xdr:row>
      <xdr:rowOff>0</xdr:rowOff>
    </xdr:to>
    <xdr:sp macro="" textlink="">
      <xdr:nvSpPr>
        <xdr:cNvPr id="2130" name="Host Control  82" hidden="1">
          <a:extLst>
            <a:ext uri="{63B3BB69-23CF-44E3-9099-C40C66FF867C}">
              <a14:compatExt xmlns:a14="http://schemas.microsoft.com/office/drawing/2010/main" spid="_x0000_s2130"/>
            </a:ext>
            <a:ext uri="{FF2B5EF4-FFF2-40B4-BE49-F238E27FC236}">
              <a16:creationId xmlns:a16="http://schemas.microsoft.com/office/drawing/2014/main" id="{00000000-0008-0000-0100-000052080000}"/>
            </a:ext>
          </a:extLst>
        </xdr:cNvPr>
        <xdr:cNvSpPr/>
      </xdr:nvSpPr>
      <xdr:spPr>
        <a:xfrm>
          <a:off x="6369050" y="1066800"/>
          <a:ext cx="400050" cy="266700"/>
        </a:xfrm>
        <a:prstGeom prst="rect">
          <a:avLst/>
        </a:prstGeom>
      </xdr:spPr>
    </xdr:sp>
    <xdr:clientData/>
  </xdr:twoCellAnchor>
  <xdr:twoCellAnchor editAs="oneCell">
    <xdr:from>
      <xdr:col>7</xdr:col>
      <xdr:colOff>0</xdr:colOff>
      <xdr:row>4</xdr:row>
      <xdr:rowOff>0</xdr:rowOff>
    </xdr:from>
    <xdr:to>
      <xdr:col>8</xdr:col>
      <xdr:colOff>209550</xdr:colOff>
      <xdr:row>5</xdr:row>
      <xdr:rowOff>0</xdr:rowOff>
    </xdr:to>
    <xdr:sp macro="" textlink="">
      <xdr:nvSpPr>
        <xdr:cNvPr id="2131" name="Host Control  83" hidden="1">
          <a:extLst>
            <a:ext uri="{63B3BB69-23CF-44E3-9099-C40C66FF867C}">
              <a14:compatExt xmlns:a14="http://schemas.microsoft.com/office/drawing/2010/main" spid="_x0000_s2131"/>
            </a:ext>
            <a:ext uri="{FF2B5EF4-FFF2-40B4-BE49-F238E27FC236}">
              <a16:creationId xmlns:a16="http://schemas.microsoft.com/office/drawing/2014/main" id="{00000000-0008-0000-0100-000053080000}"/>
            </a:ext>
          </a:extLst>
        </xdr:cNvPr>
        <xdr:cNvSpPr/>
      </xdr:nvSpPr>
      <xdr:spPr>
        <a:xfrm>
          <a:off x="7448550" y="1066800"/>
          <a:ext cx="1079500" cy="266700"/>
        </a:xfrm>
        <a:prstGeom prst="rect">
          <a:avLst/>
        </a:prstGeom>
      </xdr:spPr>
    </xdr:sp>
    <xdr:clientData/>
  </xdr:twoCellAnchor>
  <xdr:twoCellAnchor editAs="oneCell">
    <xdr:from>
      <xdr:col>8</xdr:col>
      <xdr:colOff>0</xdr:colOff>
      <xdr:row>4</xdr:row>
      <xdr:rowOff>0</xdr:rowOff>
    </xdr:from>
    <xdr:to>
      <xdr:col>9</xdr:col>
      <xdr:colOff>260350</xdr:colOff>
      <xdr:row>5</xdr:row>
      <xdr:rowOff>0</xdr:rowOff>
    </xdr:to>
    <xdr:sp macro="" textlink="">
      <xdr:nvSpPr>
        <xdr:cNvPr id="2132" name="Host Control  84" hidden="1">
          <a:extLst>
            <a:ext uri="{63B3BB69-23CF-44E3-9099-C40C66FF867C}">
              <a14:compatExt xmlns:a14="http://schemas.microsoft.com/office/drawing/2010/main" spid="_x0000_s2132"/>
            </a:ext>
            <a:ext uri="{FF2B5EF4-FFF2-40B4-BE49-F238E27FC236}">
              <a16:creationId xmlns:a16="http://schemas.microsoft.com/office/drawing/2014/main" id="{00000000-0008-0000-0100-000054080000}"/>
            </a:ext>
          </a:extLst>
        </xdr:cNvPr>
        <xdr:cNvSpPr/>
      </xdr:nvSpPr>
      <xdr:spPr>
        <a:xfrm>
          <a:off x="8318500" y="1066800"/>
          <a:ext cx="869950" cy="266700"/>
        </a:xfrm>
        <a:prstGeom prst="rect">
          <a:avLst/>
        </a:prstGeom>
      </xdr:spPr>
    </xdr:sp>
    <xdr:clientData/>
  </xdr:twoCellAnchor>
  <xdr:twoCellAnchor editAs="oneCell">
    <xdr:from>
      <xdr:col>6</xdr:col>
      <xdr:colOff>0</xdr:colOff>
      <xdr:row>5</xdr:row>
      <xdr:rowOff>0</xdr:rowOff>
    </xdr:from>
    <xdr:to>
      <xdr:col>6</xdr:col>
      <xdr:colOff>400050</xdr:colOff>
      <xdr:row>6</xdr:row>
      <xdr:rowOff>0</xdr:rowOff>
    </xdr:to>
    <xdr:sp macro="" textlink="">
      <xdr:nvSpPr>
        <xdr:cNvPr id="2133" name="Host Control  85" hidden="1">
          <a:extLst>
            <a:ext uri="{63B3BB69-23CF-44E3-9099-C40C66FF867C}">
              <a14:compatExt xmlns:a14="http://schemas.microsoft.com/office/drawing/2010/main" spid="_x0000_s2133"/>
            </a:ext>
            <a:ext uri="{FF2B5EF4-FFF2-40B4-BE49-F238E27FC236}">
              <a16:creationId xmlns:a16="http://schemas.microsoft.com/office/drawing/2014/main" id="{00000000-0008-0000-0100-000055080000}"/>
            </a:ext>
          </a:extLst>
        </xdr:cNvPr>
        <xdr:cNvSpPr/>
      </xdr:nvSpPr>
      <xdr:spPr>
        <a:xfrm>
          <a:off x="6369050" y="1333500"/>
          <a:ext cx="400050" cy="266700"/>
        </a:xfrm>
        <a:prstGeom prst="rect">
          <a:avLst/>
        </a:prstGeom>
      </xdr:spPr>
    </xdr:sp>
    <xdr:clientData/>
  </xdr:twoCellAnchor>
  <xdr:twoCellAnchor editAs="oneCell">
    <xdr:from>
      <xdr:col>7</xdr:col>
      <xdr:colOff>0</xdr:colOff>
      <xdr:row>5</xdr:row>
      <xdr:rowOff>0</xdr:rowOff>
    </xdr:from>
    <xdr:to>
      <xdr:col>8</xdr:col>
      <xdr:colOff>209550</xdr:colOff>
      <xdr:row>6</xdr:row>
      <xdr:rowOff>0</xdr:rowOff>
    </xdr:to>
    <xdr:sp macro="" textlink="">
      <xdr:nvSpPr>
        <xdr:cNvPr id="2134" name="Host Control  86" hidden="1">
          <a:extLst>
            <a:ext uri="{63B3BB69-23CF-44E3-9099-C40C66FF867C}">
              <a14:compatExt xmlns:a14="http://schemas.microsoft.com/office/drawing/2010/main" spid="_x0000_s2134"/>
            </a:ext>
            <a:ext uri="{FF2B5EF4-FFF2-40B4-BE49-F238E27FC236}">
              <a16:creationId xmlns:a16="http://schemas.microsoft.com/office/drawing/2014/main" id="{00000000-0008-0000-0100-000056080000}"/>
            </a:ext>
          </a:extLst>
        </xdr:cNvPr>
        <xdr:cNvSpPr/>
      </xdr:nvSpPr>
      <xdr:spPr>
        <a:xfrm>
          <a:off x="7448550" y="1333500"/>
          <a:ext cx="1079500" cy="266700"/>
        </a:xfrm>
        <a:prstGeom prst="rect">
          <a:avLst/>
        </a:prstGeom>
      </xdr:spPr>
    </xdr:sp>
    <xdr:clientData/>
  </xdr:twoCellAnchor>
  <xdr:twoCellAnchor editAs="oneCell">
    <xdr:from>
      <xdr:col>8</xdr:col>
      <xdr:colOff>0</xdr:colOff>
      <xdr:row>5</xdr:row>
      <xdr:rowOff>0</xdr:rowOff>
    </xdr:from>
    <xdr:to>
      <xdr:col>9</xdr:col>
      <xdr:colOff>260350</xdr:colOff>
      <xdr:row>6</xdr:row>
      <xdr:rowOff>0</xdr:rowOff>
    </xdr:to>
    <xdr:sp macro="" textlink="">
      <xdr:nvSpPr>
        <xdr:cNvPr id="2135" name="Host Control  87" hidden="1">
          <a:extLst>
            <a:ext uri="{63B3BB69-23CF-44E3-9099-C40C66FF867C}">
              <a14:compatExt xmlns:a14="http://schemas.microsoft.com/office/drawing/2010/main" spid="_x0000_s2135"/>
            </a:ext>
            <a:ext uri="{FF2B5EF4-FFF2-40B4-BE49-F238E27FC236}">
              <a16:creationId xmlns:a16="http://schemas.microsoft.com/office/drawing/2014/main" id="{00000000-0008-0000-0100-000057080000}"/>
            </a:ext>
          </a:extLst>
        </xdr:cNvPr>
        <xdr:cNvSpPr/>
      </xdr:nvSpPr>
      <xdr:spPr>
        <a:xfrm>
          <a:off x="8318500" y="1333500"/>
          <a:ext cx="869950" cy="266700"/>
        </a:xfrm>
        <a:prstGeom prst="rect">
          <a:avLst/>
        </a:prstGeom>
      </xdr:spPr>
    </xdr:sp>
    <xdr:clientData/>
  </xdr:twoCellAnchor>
  <xdr:twoCellAnchor editAs="oneCell">
    <xdr:from>
      <xdr:col>6</xdr:col>
      <xdr:colOff>0</xdr:colOff>
      <xdr:row>6</xdr:row>
      <xdr:rowOff>0</xdr:rowOff>
    </xdr:from>
    <xdr:to>
      <xdr:col>6</xdr:col>
      <xdr:colOff>400050</xdr:colOff>
      <xdr:row>7</xdr:row>
      <xdr:rowOff>0</xdr:rowOff>
    </xdr:to>
    <xdr:sp macro="" textlink="">
      <xdr:nvSpPr>
        <xdr:cNvPr id="2136" name="Host Control  88" hidden="1">
          <a:extLst>
            <a:ext uri="{63B3BB69-23CF-44E3-9099-C40C66FF867C}">
              <a14:compatExt xmlns:a14="http://schemas.microsoft.com/office/drawing/2010/main" spid="_x0000_s2136"/>
            </a:ext>
            <a:ext uri="{FF2B5EF4-FFF2-40B4-BE49-F238E27FC236}">
              <a16:creationId xmlns:a16="http://schemas.microsoft.com/office/drawing/2014/main" id="{00000000-0008-0000-0100-000058080000}"/>
            </a:ext>
          </a:extLst>
        </xdr:cNvPr>
        <xdr:cNvSpPr/>
      </xdr:nvSpPr>
      <xdr:spPr>
        <a:xfrm>
          <a:off x="6369050" y="1600200"/>
          <a:ext cx="400050" cy="266700"/>
        </a:xfrm>
        <a:prstGeom prst="rect">
          <a:avLst/>
        </a:prstGeom>
      </xdr:spPr>
    </xdr:sp>
    <xdr:clientData/>
  </xdr:twoCellAnchor>
  <xdr:twoCellAnchor editAs="oneCell">
    <xdr:from>
      <xdr:col>7</xdr:col>
      <xdr:colOff>0</xdr:colOff>
      <xdr:row>6</xdr:row>
      <xdr:rowOff>0</xdr:rowOff>
    </xdr:from>
    <xdr:to>
      <xdr:col>8</xdr:col>
      <xdr:colOff>209550</xdr:colOff>
      <xdr:row>7</xdr:row>
      <xdr:rowOff>0</xdr:rowOff>
    </xdr:to>
    <xdr:sp macro="" textlink="">
      <xdr:nvSpPr>
        <xdr:cNvPr id="2137" name="Host Control  89" hidden="1">
          <a:extLst>
            <a:ext uri="{63B3BB69-23CF-44E3-9099-C40C66FF867C}">
              <a14:compatExt xmlns:a14="http://schemas.microsoft.com/office/drawing/2010/main" spid="_x0000_s2137"/>
            </a:ext>
            <a:ext uri="{FF2B5EF4-FFF2-40B4-BE49-F238E27FC236}">
              <a16:creationId xmlns:a16="http://schemas.microsoft.com/office/drawing/2014/main" id="{00000000-0008-0000-0100-000059080000}"/>
            </a:ext>
          </a:extLst>
        </xdr:cNvPr>
        <xdr:cNvSpPr/>
      </xdr:nvSpPr>
      <xdr:spPr>
        <a:xfrm>
          <a:off x="7448550" y="1600200"/>
          <a:ext cx="1079500" cy="266700"/>
        </a:xfrm>
        <a:prstGeom prst="rect">
          <a:avLst/>
        </a:prstGeom>
      </xdr:spPr>
    </xdr:sp>
    <xdr:clientData/>
  </xdr:twoCellAnchor>
  <xdr:twoCellAnchor editAs="oneCell">
    <xdr:from>
      <xdr:col>8</xdr:col>
      <xdr:colOff>0</xdr:colOff>
      <xdr:row>6</xdr:row>
      <xdr:rowOff>0</xdr:rowOff>
    </xdr:from>
    <xdr:to>
      <xdr:col>9</xdr:col>
      <xdr:colOff>260350</xdr:colOff>
      <xdr:row>7</xdr:row>
      <xdr:rowOff>0</xdr:rowOff>
    </xdr:to>
    <xdr:sp macro="" textlink="">
      <xdr:nvSpPr>
        <xdr:cNvPr id="2138" name="Host Control  90" hidden="1">
          <a:extLst>
            <a:ext uri="{63B3BB69-23CF-44E3-9099-C40C66FF867C}">
              <a14:compatExt xmlns:a14="http://schemas.microsoft.com/office/drawing/2010/main" spid="_x0000_s2138"/>
            </a:ext>
            <a:ext uri="{FF2B5EF4-FFF2-40B4-BE49-F238E27FC236}">
              <a16:creationId xmlns:a16="http://schemas.microsoft.com/office/drawing/2014/main" id="{00000000-0008-0000-0100-00005A080000}"/>
            </a:ext>
          </a:extLst>
        </xdr:cNvPr>
        <xdr:cNvSpPr/>
      </xdr:nvSpPr>
      <xdr:spPr>
        <a:xfrm>
          <a:off x="8318500" y="1600200"/>
          <a:ext cx="869950" cy="266700"/>
        </a:xfrm>
        <a:prstGeom prst="rect">
          <a:avLst/>
        </a:prstGeom>
      </xdr:spPr>
    </xdr:sp>
    <xdr:clientData/>
  </xdr:twoCellAnchor>
  <xdr:twoCellAnchor editAs="oneCell">
    <xdr:from>
      <xdr:col>6</xdr:col>
      <xdr:colOff>0</xdr:colOff>
      <xdr:row>0</xdr:row>
      <xdr:rowOff>0</xdr:rowOff>
    </xdr:from>
    <xdr:to>
      <xdr:col>8</xdr:col>
      <xdr:colOff>624840</xdr:colOff>
      <xdr:row>1</xdr:row>
      <xdr:rowOff>0</xdr:rowOff>
    </xdr:to>
    <xdr:sp macro="" textlink="">
      <xdr:nvSpPr>
        <xdr:cNvPr id="2" name="Host Control  13">
          <a:extLst>
            <a:ext uri="{FF2B5EF4-FFF2-40B4-BE49-F238E27FC236}">
              <a16:creationId xmlns:a16="http://schemas.microsoft.com/office/drawing/2014/main" id="{00000000-0008-0000-0100-000002000000}"/>
            </a:ext>
          </a:extLst>
        </xdr:cNvPr>
        <xdr:cNvSpPr>
          <a:spLocks noChangeArrowheads="1" noChangeShapeType="1"/>
        </xdr:cNvSpPr>
      </xdr:nvSpPr>
      <xdr:spPr bwMode="auto">
        <a:xfrm>
          <a:off x="6949440" y="0"/>
          <a:ext cx="275844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15240</xdr:colOff>
      <xdr:row>1</xdr:row>
      <xdr:rowOff>0</xdr:rowOff>
    </xdr:to>
    <xdr:sp macro="" textlink="">
      <xdr:nvSpPr>
        <xdr:cNvPr id="3" name="Host Control  14">
          <a:extLst>
            <a:ext uri="{FF2B5EF4-FFF2-40B4-BE49-F238E27FC236}">
              <a16:creationId xmlns:a16="http://schemas.microsoft.com/office/drawing/2014/main" id="{00000000-0008-0000-0100-000003000000}"/>
            </a:ext>
          </a:extLst>
        </xdr:cNvPr>
        <xdr:cNvSpPr>
          <a:spLocks noChangeArrowheads="1" noChangeShapeType="1"/>
        </xdr:cNvSpPr>
      </xdr:nvSpPr>
      <xdr:spPr bwMode="auto">
        <a:xfrm>
          <a:off x="8130540" y="0"/>
          <a:ext cx="96774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502920</xdr:colOff>
      <xdr:row>1</xdr:row>
      <xdr:rowOff>0</xdr:rowOff>
    </xdr:to>
    <xdr:sp macro="" textlink="">
      <xdr:nvSpPr>
        <xdr:cNvPr id="4" name="Host Control  15">
          <a:extLst>
            <a:ext uri="{FF2B5EF4-FFF2-40B4-BE49-F238E27FC236}">
              <a16:creationId xmlns:a16="http://schemas.microsoft.com/office/drawing/2014/main" id="{00000000-0008-0000-0100-000004000000}"/>
            </a:ext>
          </a:extLst>
        </xdr:cNvPr>
        <xdr:cNvSpPr>
          <a:spLocks noChangeArrowheads="1" noChangeShapeType="1"/>
        </xdr:cNvSpPr>
      </xdr:nvSpPr>
      <xdr:spPr bwMode="auto">
        <a:xfrm>
          <a:off x="9083040" y="0"/>
          <a:ext cx="11658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5" name="Host Control  16">
          <a:extLst>
            <a:ext uri="{FF2B5EF4-FFF2-40B4-BE49-F238E27FC236}">
              <a16:creationId xmlns:a16="http://schemas.microsoft.com/office/drawing/2014/main" id="{00000000-0008-0000-0100-000005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6" name="Host Control  17">
          <a:extLst>
            <a:ext uri="{FF2B5EF4-FFF2-40B4-BE49-F238E27FC236}">
              <a16:creationId xmlns:a16="http://schemas.microsoft.com/office/drawing/2014/main" id="{00000000-0008-0000-0100-000006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7" name="Host Control  18">
          <a:extLst>
            <a:ext uri="{FF2B5EF4-FFF2-40B4-BE49-F238E27FC236}">
              <a16:creationId xmlns:a16="http://schemas.microsoft.com/office/drawing/2014/main" id="{00000000-0008-0000-0100-000007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8" name="Host Control  19">
          <a:extLst>
            <a:ext uri="{FF2B5EF4-FFF2-40B4-BE49-F238E27FC236}">
              <a16:creationId xmlns:a16="http://schemas.microsoft.com/office/drawing/2014/main" id="{00000000-0008-0000-0100-000008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9" name="Host Control  20">
          <a:extLst>
            <a:ext uri="{FF2B5EF4-FFF2-40B4-BE49-F238E27FC236}">
              <a16:creationId xmlns:a16="http://schemas.microsoft.com/office/drawing/2014/main" id="{00000000-0008-0000-0100-000009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10" name="Host Control  21">
          <a:extLst>
            <a:ext uri="{FF2B5EF4-FFF2-40B4-BE49-F238E27FC236}">
              <a16:creationId xmlns:a16="http://schemas.microsoft.com/office/drawing/2014/main" id="{00000000-0008-0000-0100-00000A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11" name="Host Control  22">
          <a:extLst>
            <a:ext uri="{FF2B5EF4-FFF2-40B4-BE49-F238E27FC236}">
              <a16:creationId xmlns:a16="http://schemas.microsoft.com/office/drawing/2014/main" id="{00000000-0008-0000-0100-00000B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12" name="Host Control  23">
          <a:extLst>
            <a:ext uri="{FF2B5EF4-FFF2-40B4-BE49-F238E27FC236}">
              <a16:creationId xmlns:a16="http://schemas.microsoft.com/office/drawing/2014/main" id="{00000000-0008-0000-0100-00000C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13" name="Host Control  24">
          <a:extLst>
            <a:ext uri="{FF2B5EF4-FFF2-40B4-BE49-F238E27FC236}">
              <a16:creationId xmlns:a16="http://schemas.microsoft.com/office/drawing/2014/main" id="{00000000-0008-0000-0100-00000D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14" name="Host Control  25">
          <a:extLst>
            <a:ext uri="{FF2B5EF4-FFF2-40B4-BE49-F238E27FC236}">
              <a16:creationId xmlns:a16="http://schemas.microsoft.com/office/drawing/2014/main" id="{00000000-0008-0000-0100-00000E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15" name="Host Control  26">
          <a:extLst>
            <a:ext uri="{FF2B5EF4-FFF2-40B4-BE49-F238E27FC236}">
              <a16:creationId xmlns:a16="http://schemas.microsoft.com/office/drawing/2014/main" id="{00000000-0008-0000-0100-00000F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16" name="Host Control  27">
          <a:extLst>
            <a:ext uri="{FF2B5EF4-FFF2-40B4-BE49-F238E27FC236}">
              <a16:creationId xmlns:a16="http://schemas.microsoft.com/office/drawing/2014/main" id="{00000000-0008-0000-0100-000010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17" name="Host Control  28">
          <a:extLst>
            <a:ext uri="{FF2B5EF4-FFF2-40B4-BE49-F238E27FC236}">
              <a16:creationId xmlns:a16="http://schemas.microsoft.com/office/drawing/2014/main" id="{00000000-0008-0000-0100-000011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18" name="Host Control  29">
          <a:extLst>
            <a:ext uri="{FF2B5EF4-FFF2-40B4-BE49-F238E27FC236}">
              <a16:creationId xmlns:a16="http://schemas.microsoft.com/office/drawing/2014/main" id="{00000000-0008-0000-0100-000012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19" name="Host Control  30">
          <a:extLst>
            <a:ext uri="{FF2B5EF4-FFF2-40B4-BE49-F238E27FC236}">
              <a16:creationId xmlns:a16="http://schemas.microsoft.com/office/drawing/2014/main" id="{00000000-0008-0000-0100-000013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20" name="Host Control  31">
          <a:extLst>
            <a:ext uri="{FF2B5EF4-FFF2-40B4-BE49-F238E27FC236}">
              <a16:creationId xmlns:a16="http://schemas.microsoft.com/office/drawing/2014/main" id="{00000000-0008-0000-0100-000014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21" name="Host Control  32">
          <a:extLst>
            <a:ext uri="{FF2B5EF4-FFF2-40B4-BE49-F238E27FC236}">
              <a16:creationId xmlns:a16="http://schemas.microsoft.com/office/drawing/2014/main" id="{00000000-0008-0000-0100-000015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22" name="Host Control  33">
          <a:extLst>
            <a:ext uri="{FF2B5EF4-FFF2-40B4-BE49-F238E27FC236}">
              <a16:creationId xmlns:a16="http://schemas.microsoft.com/office/drawing/2014/main" id="{00000000-0008-0000-0100-000016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23" name="Host Control  34">
          <a:extLst>
            <a:ext uri="{FF2B5EF4-FFF2-40B4-BE49-F238E27FC236}">
              <a16:creationId xmlns:a16="http://schemas.microsoft.com/office/drawing/2014/main" id="{00000000-0008-0000-0100-000017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24" name="Host Control  35">
          <a:extLst>
            <a:ext uri="{FF2B5EF4-FFF2-40B4-BE49-F238E27FC236}">
              <a16:creationId xmlns:a16="http://schemas.microsoft.com/office/drawing/2014/main" id="{00000000-0008-0000-0100-000018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25" name="Host Control  36">
          <a:extLst>
            <a:ext uri="{FF2B5EF4-FFF2-40B4-BE49-F238E27FC236}">
              <a16:creationId xmlns:a16="http://schemas.microsoft.com/office/drawing/2014/main" id="{00000000-0008-0000-0100-000019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26" name="Host Control  37">
          <a:extLst>
            <a:ext uri="{FF2B5EF4-FFF2-40B4-BE49-F238E27FC236}">
              <a16:creationId xmlns:a16="http://schemas.microsoft.com/office/drawing/2014/main" id="{00000000-0008-0000-0100-00001A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27" name="Host Control  38">
          <a:extLst>
            <a:ext uri="{FF2B5EF4-FFF2-40B4-BE49-F238E27FC236}">
              <a16:creationId xmlns:a16="http://schemas.microsoft.com/office/drawing/2014/main" id="{00000000-0008-0000-0100-00001B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28" name="Host Control  39">
          <a:extLst>
            <a:ext uri="{FF2B5EF4-FFF2-40B4-BE49-F238E27FC236}">
              <a16:creationId xmlns:a16="http://schemas.microsoft.com/office/drawing/2014/main" id="{00000000-0008-0000-0100-00001C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29" name="Host Control  40">
          <a:extLst>
            <a:ext uri="{FF2B5EF4-FFF2-40B4-BE49-F238E27FC236}">
              <a16:creationId xmlns:a16="http://schemas.microsoft.com/office/drawing/2014/main" id="{00000000-0008-0000-0100-00001D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30" name="Host Control  41">
          <a:extLst>
            <a:ext uri="{FF2B5EF4-FFF2-40B4-BE49-F238E27FC236}">
              <a16:creationId xmlns:a16="http://schemas.microsoft.com/office/drawing/2014/main" id="{00000000-0008-0000-0100-00001E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31" name="Host Control  42">
          <a:extLst>
            <a:ext uri="{FF2B5EF4-FFF2-40B4-BE49-F238E27FC236}">
              <a16:creationId xmlns:a16="http://schemas.microsoft.com/office/drawing/2014/main" id="{00000000-0008-0000-0100-00001F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32" name="Host Control  43">
          <a:extLst>
            <a:ext uri="{FF2B5EF4-FFF2-40B4-BE49-F238E27FC236}">
              <a16:creationId xmlns:a16="http://schemas.microsoft.com/office/drawing/2014/main" id="{00000000-0008-0000-0100-000020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33" name="Host Control  44">
          <a:extLst>
            <a:ext uri="{FF2B5EF4-FFF2-40B4-BE49-F238E27FC236}">
              <a16:creationId xmlns:a16="http://schemas.microsoft.com/office/drawing/2014/main" id="{00000000-0008-0000-0100-000021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34" name="Host Control  45">
          <a:extLst>
            <a:ext uri="{FF2B5EF4-FFF2-40B4-BE49-F238E27FC236}">
              <a16:creationId xmlns:a16="http://schemas.microsoft.com/office/drawing/2014/main" id="{00000000-0008-0000-0100-000022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35" name="Host Control  46">
          <a:extLst>
            <a:ext uri="{FF2B5EF4-FFF2-40B4-BE49-F238E27FC236}">
              <a16:creationId xmlns:a16="http://schemas.microsoft.com/office/drawing/2014/main" id="{00000000-0008-0000-0100-000023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36" name="Host Control  47">
          <a:extLst>
            <a:ext uri="{FF2B5EF4-FFF2-40B4-BE49-F238E27FC236}">
              <a16:creationId xmlns:a16="http://schemas.microsoft.com/office/drawing/2014/main" id="{00000000-0008-0000-0100-000024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37" name="Host Control  48">
          <a:extLst>
            <a:ext uri="{FF2B5EF4-FFF2-40B4-BE49-F238E27FC236}">
              <a16:creationId xmlns:a16="http://schemas.microsoft.com/office/drawing/2014/main" id="{00000000-0008-0000-0100-000025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0</xdr:row>
      <xdr:rowOff>243840</xdr:rowOff>
    </xdr:to>
    <xdr:sp macro="" textlink="">
      <xdr:nvSpPr>
        <xdr:cNvPr id="38" name="Host Control  49">
          <a:extLst>
            <a:ext uri="{FF2B5EF4-FFF2-40B4-BE49-F238E27FC236}">
              <a16:creationId xmlns:a16="http://schemas.microsoft.com/office/drawing/2014/main" id="{00000000-0008-0000-0100-000026000000}"/>
            </a:ext>
          </a:extLst>
        </xdr:cNvPr>
        <xdr:cNvSpPr>
          <a:spLocks noChangeArrowheads="1" noChangeShapeType="1"/>
        </xdr:cNvSpPr>
      </xdr:nvSpPr>
      <xdr:spPr bwMode="auto">
        <a:xfrm>
          <a:off x="6949440" y="0"/>
          <a:ext cx="480060" cy="2438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0</xdr:row>
      <xdr:rowOff>243840</xdr:rowOff>
    </xdr:to>
    <xdr:sp macro="" textlink="">
      <xdr:nvSpPr>
        <xdr:cNvPr id="39" name="Host Control  50">
          <a:extLst>
            <a:ext uri="{FF2B5EF4-FFF2-40B4-BE49-F238E27FC236}">
              <a16:creationId xmlns:a16="http://schemas.microsoft.com/office/drawing/2014/main" id="{00000000-0008-0000-0100-000027000000}"/>
            </a:ext>
          </a:extLst>
        </xdr:cNvPr>
        <xdr:cNvSpPr>
          <a:spLocks noChangeArrowheads="1" noChangeShapeType="1"/>
        </xdr:cNvSpPr>
      </xdr:nvSpPr>
      <xdr:spPr bwMode="auto">
        <a:xfrm>
          <a:off x="8130540" y="0"/>
          <a:ext cx="1203960" cy="2438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0</xdr:row>
      <xdr:rowOff>243840</xdr:rowOff>
    </xdr:to>
    <xdr:sp macro="" textlink="">
      <xdr:nvSpPr>
        <xdr:cNvPr id="40" name="Host Control  51">
          <a:extLst>
            <a:ext uri="{FF2B5EF4-FFF2-40B4-BE49-F238E27FC236}">
              <a16:creationId xmlns:a16="http://schemas.microsoft.com/office/drawing/2014/main" id="{00000000-0008-0000-0100-000028000000}"/>
            </a:ext>
          </a:extLst>
        </xdr:cNvPr>
        <xdr:cNvSpPr>
          <a:spLocks noChangeArrowheads="1" noChangeShapeType="1"/>
        </xdr:cNvSpPr>
      </xdr:nvSpPr>
      <xdr:spPr bwMode="auto">
        <a:xfrm>
          <a:off x="9083040" y="0"/>
          <a:ext cx="975360" cy="2438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41" name="Host Control  52">
          <a:extLst>
            <a:ext uri="{FF2B5EF4-FFF2-40B4-BE49-F238E27FC236}">
              <a16:creationId xmlns:a16="http://schemas.microsoft.com/office/drawing/2014/main" id="{00000000-0008-0000-0100-000029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42" name="Host Control  53">
          <a:extLst>
            <a:ext uri="{FF2B5EF4-FFF2-40B4-BE49-F238E27FC236}">
              <a16:creationId xmlns:a16="http://schemas.microsoft.com/office/drawing/2014/main" id="{00000000-0008-0000-0100-00002A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43" name="Host Control  54">
          <a:extLst>
            <a:ext uri="{FF2B5EF4-FFF2-40B4-BE49-F238E27FC236}">
              <a16:creationId xmlns:a16="http://schemas.microsoft.com/office/drawing/2014/main" id="{00000000-0008-0000-0100-00002B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44" name="Host Control  55">
          <a:extLst>
            <a:ext uri="{FF2B5EF4-FFF2-40B4-BE49-F238E27FC236}">
              <a16:creationId xmlns:a16="http://schemas.microsoft.com/office/drawing/2014/main" id="{00000000-0008-0000-0100-00002C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45" name="Host Control  56">
          <a:extLst>
            <a:ext uri="{FF2B5EF4-FFF2-40B4-BE49-F238E27FC236}">
              <a16:creationId xmlns:a16="http://schemas.microsoft.com/office/drawing/2014/main" id="{00000000-0008-0000-0100-00002D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46" name="Host Control  57">
          <a:extLst>
            <a:ext uri="{FF2B5EF4-FFF2-40B4-BE49-F238E27FC236}">
              <a16:creationId xmlns:a16="http://schemas.microsoft.com/office/drawing/2014/main" id="{00000000-0008-0000-0100-00002E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47" name="Host Control  58">
          <a:extLst>
            <a:ext uri="{FF2B5EF4-FFF2-40B4-BE49-F238E27FC236}">
              <a16:creationId xmlns:a16="http://schemas.microsoft.com/office/drawing/2014/main" id="{00000000-0008-0000-0100-00002F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48" name="Host Control  59">
          <a:extLst>
            <a:ext uri="{FF2B5EF4-FFF2-40B4-BE49-F238E27FC236}">
              <a16:creationId xmlns:a16="http://schemas.microsoft.com/office/drawing/2014/main" id="{00000000-0008-0000-0100-000030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49" name="Host Control  60">
          <a:extLst>
            <a:ext uri="{FF2B5EF4-FFF2-40B4-BE49-F238E27FC236}">
              <a16:creationId xmlns:a16="http://schemas.microsoft.com/office/drawing/2014/main" id="{00000000-0008-0000-0100-000031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50" name="Host Control  61">
          <a:extLst>
            <a:ext uri="{FF2B5EF4-FFF2-40B4-BE49-F238E27FC236}">
              <a16:creationId xmlns:a16="http://schemas.microsoft.com/office/drawing/2014/main" id="{00000000-0008-0000-0100-000032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51" name="Host Control  62">
          <a:extLst>
            <a:ext uri="{FF2B5EF4-FFF2-40B4-BE49-F238E27FC236}">
              <a16:creationId xmlns:a16="http://schemas.microsoft.com/office/drawing/2014/main" id="{00000000-0008-0000-0100-000033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52" name="Host Control  63">
          <a:extLst>
            <a:ext uri="{FF2B5EF4-FFF2-40B4-BE49-F238E27FC236}">
              <a16:creationId xmlns:a16="http://schemas.microsoft.com/office/drawing/2014/main" id="{00000000-0008-0000-0100-000034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53" name="Host Control  64">
          <a:extLst>
            <a:ext uri="{FF2B5EF4-FFF2-40B4-BE49-F238E27FC236}">
              <a16:creationId xmlns:a16="http://schemas.microsoft.com/office/drawing/2014/main" id="{00000000-0008-0000-0100-000035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54" name="Host Control  65">
          <a:extLst>
            <a:ext uri="{FF2B5EF4-FFF2-40B4-BE49-F238E27FC236}">
              <a16:creationId xmlns:a16="http://schemas.microsoft.com/office/drawing/2014/main" id="{00000000-0008-0000-0100-000036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55" name="Host Control  66">
          <a:extLst>
            <a:ext uri="{FF2B5EF4-FFF2-40B4-BE49-F238E27FC236}">
              <a16:creationId xmlns:a16="http://schemas.microsoft.com/office/drawing/2014/main" id="{00000000-0008-0000-0100-000037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0</xdr:row>
      <xdr:rowOff>243840</xdr:rowOff>
    </xdr:to>
    <xdr:sp macro="" textlink="">
      <xdr:nvSpPr>
        <xdr:cNvPr id="56" name="Host Control  67">
          <a:extLst>
            <a:ext uri="{FF2B5EF4-FFF2-40B4-BE49-F238E27FC236}">
              <a16:creationId xmlns:a16="http://schemas.microsoft.com/office/drawing/2014/main" id="{00000000-0008-0000-0100-000038000000}"/>
            </a:ext>
          </a:extLst>
        </xdr:cNvPr>
        <xdr:cNvSpPr>
          <a:spLocks noChangeArrowheads="1" noChangeShapeType="1"/>
        </xdr:cNvSpPr>
      </xdr:nvSpPr>
      <xdr:spPr bwMode="auto">
        <a:xfrm>
          <a:off x="6949440" y="0"/>
          <a:ext cx="480060" cy="2438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0</xdr:row>
      <xdr:rowOff>243840</xdr:rowOff>
    </xdr:to>
    <xdr:sp macro="" textlink="">
      <xdr:nvSpPr>
        <xdr:cNvPr id="57" name="Host Control  68">
          <a:extLst>
            <a:ext uri="{FF2B5EF4-FFF2-40B4-BE49-F238E27FC236}">
              <a16:creationId xmlns:a16="http://schemas.microsoft.com/office/drawing/2014/main" id="{00000000-0008-0000-0100-000039000000}"/>
            </a:ext>
          </a:extLst>
        </xdr:cNvPr>
        <xdr:cNvSpPr>
          <a:spLocks noChangeArrowheads="1" noChangeShapeType="1"/>
        </xdr:cNvSpPr>
      </xdr:nvSpPr>
      <xdr:spPr bwMode="auto">
        <a:xfrm>
          <a:off x="8130540" y="0"/>
          <a:ext cx="1203960" cy="2438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0</xdr:row>
      <xdr:rowOff>243840</xdr:rowOff>
    </xdr:to>
    <xdr:sp macro="" textlink="">
      <xdr:nvSpPr>
        <xdr:cNvPr id="58" name="Host Control  69">
          <a:extLst>
            <a:ext uri="{FF2B5EF4-FFF2-40B4-BE49-F238E27FC236}">
              <a16:creationId xmlns:a16="http://schemas.microsoft.com/office/drawing/2014/main" id="{00000000-0008-0000-0100-00003A000000}"/>
            </a:ext>
          </a:extLst>
        </xdr:cNvPr>
        <xdr:cNvSpPr>
          <a:spLocks noChangeArrowheads="1" noChangeShapeType="1"/>
        </xdr:cNvSpPr>
      </xdr:nvSpPr>
      <xdr:spPr bwMode="auto">
        <a:xfrm>
          <a:off x="9083040" y="0"/>
          <a:ext cx="975360" cy="2438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0</xdr:row>
      <xdr:rowOff>0</xdr:rowOff>
    </xdr:from>
    <xdr:to>
      <xdr:col>6</xdr:col>
      <xdr:colOff>480060</xdr:colOff>
      <xdr:row>1</xdr:row>
      <xdr:rowOff>0</xdr:rowOff>
    </xdr:to>
    <xdr:sp macro="" textlink="">
      <xdr:nvSpPr>
        <xdr:cNvPr id="59" name="Host Control  70">
          <a:extLst>
            <a:ext uri="{FF2B5EF4-FFF2-40B4-BE49-F238E27FC236}">
              <a16:creationId xmlns:a16="http://schemas.microsoft.com/office/drawing/2014/main" id="{00000000-0008-0000-0100-00003B000000}"/>
            </a:ext>
          </a:extLst>
        </xdr:cNvPr>
        <xdr:cNvSpPr>
          <a:spLocks noChangeArrowheads="1" noChangeShapeType="1"/>
        </xdr:cNvSpPr>
      </xdr:nvSpPr>
      <xdr:spPr bwMode="auto">
        <a:xfrm>
          <a:off x="6949440" y="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0</xdr:row>
      <xdr:rowOff>0</xdr:rowOff>
    </xdr:from>
    <xdr:to>
      <xdr:col>8</xdr:col>
      <xdr:colOff>251460</xdr:colOff>
      <xdr:row>1</xdr:row>
      <xdr:rowOff>0</xdr:rowOff>
    </xdr:to>
    <xdr:sp macro="" textlink="">
      <xdr:nvSpPr>
        <xdr:cNvPr id="60" name="Host Control  71">
          <a:extLst>
            <a:ext uri="{FF2B5EF4-FFF2-40B4-BE49-F238E27FC236}">
              <a16:creationId xmlns:a16="http://schemas.microsoft.com/office/drawing/2014/main" id="{00000000-0008-0000-0100-00003C000000}"/>
            </a:ext>
          </a:extLst>
        </xdr:cNvPr>
        <xdr:cNvSpPr>
          <a:spLocks noChangeArrowheads="1" noChangeShapeType="1"/>
        </xdr:cNvSpPr>
      </xdr:nvSpPr>
      <xdr:spPr bwMode="auto">
        <a:xfrm>
          <a:off x="8130540" y="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0</xdr:row>
      <xdr:rowOff>0</xdr:rowOff>
    </xdr:from>
    <xdr:to>
      <xdr:col>9</xdr:col>
      <xdr:colOff>312420</xdr:colOff>
      <xdr:row>1</xdr:row>
      <xdr:rowOff>0</xdr:rowOff>
    </xdr:to>
    <xdr:sp macro="" textlink="">
      <xdr:nvSpPr>
        <xdr:cNvPr id="61" name="Host Control  72">
          <a:extLst>
            <a:ext uri="{FF2B5EF4-FFF2-40B4-BE49-F238E27FC236}">
              <a16:creationId xmlns:a16="http://schemas.microsoft.com/office/drawing/2014/main" id="{00000000-0008-0000-0100-00003D000000}"/>
            </a:ext>
          </a:extLst>
        </xdr:cNvPr>
        <xdr:cNvSpPr>
          <a:spLocks noChangeArrowheads="1" noChangeShapeType="1"/>
        </xdr:cNvSpPr>
      </xdr:nvSpPr>
      <xdr:spPr bwMode="auto">
        <a:xfrm>
          <a:off x="9083040" y="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1</xdr:row>
      <xdr:rowOff>0</xdr:rowOff>
    </xdr:from>
    <xdr:to>
      <xdr:col>6</xdr:col>
      <xdr:colOff>480060</xdr:colOff>
      <xdr:row>2</xdr:row>
      <xdr:rowOff>0</xdr:rowOff>
    </xdr:to>
    <xdr:sp macro="" textlink="">
      <xdr:nvSpPr>
        <xdr:cNvPr id="62" name="Host Control  73">
          <a:extLst>
            <a:ext uri="{FF2B5EF4-FFF2-40B4-BE49-F238E27FC236}">
              <a16:creationId xmlns:a16="http://schemas.microsoft.com/office/drawing/2014/main" id="{00000000-0008-0000-0100-00003E000000}"/>
            </a:ext>
          </a:extLst>
        </xdr:cNvPr>
        <xdr:cNvSpPr>
          <a:spLocks noChangeArrowheads="1" noChangeShapeType="1"/>
        </xdr:cNvSpPr>
      </xdr:nvSpPr>
      <xdr:spPr bwMode="auto">
        <a:xfrm>
          <a:off x="6949440" y="26670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1</xdr:row>
      <xdr:rowOff>0</xdr:rowOff>
    </xdr:from>
    <xdr:to>
      <xdr:col>8</xdr:col>
      <xdr:colOff>251460</xdr:colOff>
      <xdr:row>2</xdr:row>
      <xdr:rowOff>0</xdr:rowOff>
    </xdr:to>
    <xdr:sp macro="" textlink="">
      <xdr:nvSpPr>
        <xdr:cNvPr id="63" name="Host Control  74">
          <a:extLst>
            <a:ext uri="{FF2B5EF4-FFF2-40B4-BE49-F238E27FC236}">
              <a16:creationId xmlns:a16="http://schemas.microsoft.com/office/drawing/2014/main" id="{00000000-0008-0000-0100-00003F000000}"/>
            </a:ext>
          </a:extLst>
        </xdr:cNvPr>
        <xdr:cNvSpPr>
          <a:spLocks noChangeArrowheads="1" noChangeShapeType="1"/>
        </xdr:cNvSpPr>
      </xdr:nvSpPr>
      <xdr:spPr bwMode="auto">
        <a:xfrm>
          <a:off x="8130540" y="26670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1</xdr:row>
      <xdr:rowOff>0</xdr:rowOff>
    </xdr:from>
    <xdr:to>
      <xdr:col>9</xdr:col>
      <xdr:colOff>312420</xdr:colOff>
      <xdr:row>2</xdr:row>
      <xdr:rowOff>0</xdr:rowOff>
    </xdr:to>
    <xdr:sp macro="" textlink="">
      <xdr:nvSpPr>
        <xdr:cNvPr id="2048" name="Host Control  75">
          <a:extLst>
            <a:ext uri="{FF2B5EF4-FFF2-40B4-BE49-F238E27FC236}">
              <a16:creationId xmlns:a16="http://schemas.microsoft.com/office/drawing/2014/main" id="{00000000-0008-0000-0100-000000080000}"/>
            </a:ext>
          </a:extLst>
        </xdr:cNvPr>
        <xdr:cNvSpPr>
          <a:spLocks noChangeArrowheads="1" noChangeShapeType="1"/>
        </xdr:cNvSpPr>
      </xdr:nvSpPr>
      <xdr:spPr bwMode="auto">
        <a:xfrm>
          <a:off x="9083040" y="26670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2</xdr:row>
      <xdr:rowOff>0</xdr:rowOff>
    </xdr:from>
    <xdr:to>
      <xdr:col>6</xdr:col>
      <xdr:colOff>480060</xdr:colOff>
      <xdr:row>3</xdr:row>
      <xdr:rowOff>0</xdr:rowOff>
    </xdr:to>
    <xdr:sp macro="" textlink="">
      <xdr:nvSpPr>
        <xdr:cNvPr id="2049" name="Host Control  76">
          <a:extLst>
            <a:ext uri="{FF2B5EF4-FFF2-40B4-BE49-F238E27FC236}">
              <a16:creationId xmlns:a16="http://schemas.microsoft.com/office/drawing/2014/main" id="{00000000-0008-0000-0100-000001080000}"/>
            </a:ext>
          </a:extLst>
        </xdr:cNvPr>
        <xdr:cNvSpPr>
          <a:spLocks noChangeArrowheads="1" noChangeShapeType="1"/>
        </xdr:cNvSpPr>
      </xdr:nvSpPr>
      <xdr:spPr bwMode="auto">
        <a:xfrm>
          <a:off x="6949440" y="53340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2</xdr:row>
      <xdr:rowOff>0</xdr:rowOff>
    </xdr:from>
    <xdr:to>
      <xdr:col>8</xdr:col>
      <xdr:colOff>251460</xdr:colOff>
      <xdr:row>3</xdr:row>
      <xdr:rowOff>0</xdr:rowOff>
    </xdr:to>
    <xdr:sp macro="" textlink="">
      <xdr:nvSpPr>
        <xdr:cNvPr id="2050" name="Host Control  77">
          <a:extLst>
            <a:ext uri="{FF2B5EF4-FFF2-40B4-BE49-F238E27FC236}">
              <a16:creationId xmlns:a16="http://schemas.microsoft.com/office/drawing/2014/main" id="{00000000-0008-0000-0100-000002080000}"/>
            </a:ext>
          </a:extLst>
        </xdr:cNvPr>
        <xdr:cNvSpPr>
          <a:spLocks noChangeArrowheads="1" noChangeShapeType="1"/>
        </xdr:cNvSpPr>
      </xdr:nvSpPr>
      <xdr:spPr bwMode="auto">
        <a:xfrm>
          <a:off x="8130540" y="53340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2</xdr:row>
      <xdr:rowOff>0</xdr:rowOff>
    </xdr:from>
    <xdr:to>
      <xdr:col>9</xdr:col>
      <xdr:colOff>312420</xdr:colOff>
      <xdr:row>3</xdr:row>
      <xdr:rowOff>0</xdr:rowOff>
    </xdr:to>
    <xdr:sp macro="" textlink="">
      <xdr:nvSpPr>
        <xdr:cNvPr id="2051" name="Host Control  78">
          <a:extLst>
            <a:ext uri="{FF2B5EF4-FFF2-40B4-BE49-F238E27FC236}">
              <a16:creationId xmlns:a16="http://schemas.microsoft.com/office/drawing/2014/main" id="{00000000-0008-0000-0100-000003080000}"/>
            </a:ext>
          </a:extLst>
        </xdr:cNvPr>
        <xdr:cNvSpPr>
          <a:spLocks noChangeArrowheads="1" noChangeShapeType="1"/>
        </xdr:cNvSpPr>
      </xdr:nvSpPr>
      <xdr:spPr bwMode="auto">
        <a:xfrm>
          <a:off x="9083040" y="53340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3</xdr:row>
      <xdr:rowOff>0</xdr:rowOff>
    </xdr:from>
    <xdr:to>
      <xdr:col>6</xdr:col>
      <xdr:colOff>480060</xdr:colOff>
      <xdr:row>4</xdr:row>
      <xdr:rowOff>0</xdr:rowOff>
    </xdr:to>
    <xdr:sp macro="" textlink="">
      <xdr:nvSpPr>
        <xdr:cNvPr id="2052" name="Host Control  79">
          <a:extLst>
            <a:ext uri="{FF2B5EF4-FFF2-40B4-BE49-F238E27FC236}">
              <a16:creationId xmlns:a16="http://schemas.microsoft.com/office/drawing/2014/main" id="{00000000-0008-0000-0100-000004080000}"/>
            </a:ext>
          </a:extLst>
        </xdr:cNvPr>
        <xdr:cNvSpPr>
          <a:spLocks noChangeArrowheads="1" noChangeShapeType="1"/>
        </xdr:cNvSpPr>
      </xdr:nvSpPr>
      <xdr:spPr bwMode="auto">
        <a:xfrm>
          <a:off x="6949440" y="80010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3</xdr:row>
      <xdr:rowOff>0</xdr:rowOff>
    </xdr:from>
    <xdr:to>
      <xdr:col>8</xdr:col>
      <xdr:colOff>251460</xdr:colOff>
      <xdr:row>4</xdr:row>
      <xdr:rowOff>0</xdr:rowOff>
    </xdr:to>
    <xdr:sp macro="" textlink="">
      <xdr:nvSpPr>
        <xdr:cNvPr id="2053" name="Host Control  80">
          <a:extLst>
            <a:ext uri="{FF2B5EF4-FFF2-40B4-BE49-F238E27FC236}">
              <a16:creationId xmlns:a16="http://schemas.microsoft.com/office/drawing/2014/main" id="{00000000-0008-0000-0100-000005080000}"/>
            </a:ext>
          </a:extLst>
        </xdr:cNvPr>
        <xdr:cNvSpPr>
          <a:spLocks noChangeArrowheads="1" noChangeShapeType="1"/>
        </xdr:cNvSpPr>
      </xdr:nvSpPr>
      <xdr:spPr bwMode="auto">
        <a:xfrm>
          <a:off x="8130540" y="80010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3</xdr:row>
      <xdr:rowOff>0</xdr:rowOff>
    </xdr:from>
    <xdr:to>
      <xdr:col>9</xdr:col>
      <xdr:colOff>312420</xdr:colOff>
      <xdr:row>4</xdr:row>
      <xdr:rowOff>0</xdr:rowOff>
    </xdr:to>
    <xdr:sp macro="" textlink="">
      <xdr:nvSpPr>
        <xdr:cNvPr id="2054" name="Host Control  81">
          <a:extLst>
            <a:ext uri="{FF2B5EF4-FFF2-40B4-BE49-F238E27FC236}">
              <a16:creationId xmlns:a16="http://schemas.microsoft.com/office/drawing/2014/main" id="{00000000-0008-0000-0100-000006080000}"/>
            </a:ext>
          </a:extLst>
        </xdr:cNvPr>
        <xdr:cNvSpPr>
          <a:spLocks noChangeArrowheads="1" noChangeShapeType="1"/>
        </xdr:cNvSpPr>
      </xdr:nvSpPr>
      <xdr:spPr bwMode="auto">
        <a:xfrm>
          <a:off x="9083040" y="80010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4</xdr:row>
      <xdr:rowOff>0</xdr:rowOff>
    </xdr:from>
    <xdr:to>
      <xdr:col>6</xdr:col>
      <xdr:colOff>480060</xdr:colOff>
      <xdr:row>5</xdr:row>
      <xdr:rowOff>0</xdr:rowOff>
    </xdr:to>
    <xdr:sp macro="" textlink="">
      <xdr:nvSpPr>
        <xdr:cNvPr id="2055" name="Host Control  82">
          <a:extLst>
            <a:ext uri="{FF2B5EF4-FFF2-40B4-BE49-F238E27FC236}">
              <a16:creationId xmlns:a16="http://schemas.microsoft.com/office/drawing/2014/main" id="{00000000-0008-0000-0100-000007080000}"/>
            </a:ext>
          </a:extLst>
        </xdr:cNvPr>
        <xdr:cNvSpPr>
          <a:spLocks noChangeArrowheads="1" noChangeShapeType="1"/>
        </xdr:cNvSpPr>
      </xdr:nvSpPr>
      <xdr:spPr bwMode="auto">
        <a:xfrm>
          <a:off x="6949440" y="106680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4</xdr:row>
      <xdr:rowOff>0</xdr:rowOff>
    </xdr:from>
    <xdr:to>
      <xdr:col>8</xdr:col>
      <xdr:colOff>251460</xdr:colOff>
      <xdr:row>5</xdr:row>
      <xdr:rowOff>0</xdr:rowOff>
    </xdr:to>
    <xdr:sp macro="" textlink="">
      <xdr:nvSpPr>
        <xdr:cNvPr id="2056" name="Host Control  83">
          <a:extLst>
            <a:ext uri="{FF2B5EF4-FFF2-40B4-BE49-F238E27FC236}">
              <a16:creationId xmlns:a16="http://schemas.microsoft.com/office/drawing/2014/main" id="{00000000-0008-0000-0100-000008080000}"/>
            </a:ext>
          </a:extLst>
        </xdr:cNvPr>
        <xdr:cNvSpPr>
          <a:spLocks noChangeArrowheads="1" noChangeShapeType="1"/>
        </xdr:cNvSpPr>
      </xdr:nvSpPr>
      <xdr:spPr bwMode="auto">
        <a:xfrm>
          <a:off x="8130540" y="106680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4</xdr:row>
      <xdr:rowOff>0</xdr:rowOff>
    </xdr:from>
    <xdr:to>
      <xdr:col>9</xdr:col>
      <xdr:colOff>312420</xdr:colOff>
      <xdr:row>5</xdr:row>
      <xdr:rowOff>0</xdr:rowOff>
    </xdr:to>
    <xdr:sp macro="" textlink="">
      <xdr:nvSpPr>
        <xdr:cNvPr id="2057" name="Host Control  84">
          <a:extLst>
            <a:ext uri="{FF2B5EF4-FFF2-40B4-BE49-F238E27FC236}">
              <a16:creationId xmlns:a16="http://schemas.microsoft.com/office/drawing/2014/main" id="{00000000-0008-0000-0100-000009080000}"/>
            </a:ext>
          </a:extLst>
        </xdr:cNvPr>
        <xdr:cNvSpPr>
          <a:spLocks noChangeArrowheads="1" noChangeShapeType="1"/>
        </xdr:cNvSpPr>
      </xdr:nvSpPr>
      <xdr:spPr bwMode="auto">
        <a:xfrm>
          <a:off x="9083040" y="106680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5</xdr:row>
      <xdr:rowOff>0</xdr:rowOff>
    </xdr:from>
    <xdr:to>
      <xdr:col>6</xdr:col>
      <xdr:colOff>480060</xdr:colOff>
      <xdr:row>6</xdr:row>
      <xdr:rowOff>0</xdr:rowOff>
    </xdr:to>
    <xdr:sp macro="" textlink="">
      <xdr:nvSpPr>
        <xdr:cNvPr id="2058" name="Host Control  85">
          <a:extLst>
            <a:ext uri="{FF2B5EF4-FFF2-40B4-BE49-F238E27FC236}">
              <a16:creationId xmlns:a16="http://schemas.microsoft.com/office/drawing/2014/main" id="{00000000-0008-0000-0100-00000A080000}"/>
            </a:ext>
          </a:extLst>
        </xdr:cNvPr>
        <xdr:cNvSpPr>
          <a:spLocks noChangeArrowheads="1" noChangeShapeType="1"/>
        </xdr:cNvSpPr>
      </xdr:nvSpPr>
      <xdr:spPr bwMode="auto">
        <a:xfrm>
          <a:off x="6949440" y="133350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5</xdr:row>
      <xdr:rowOff>0</xdr:rowOff>
    </xdr:from>
    <xdr:to>
      <xdr:col>8</xdr:col>
      <xdr:colOff>251460</xdr:colOff>
      <xdr:row>6</xdr:row>
      <xdr:rowOff>0</xdr:rowOff>
    </xdr:to>
    <xdr:sp macro="" textlink="">
      <xdr:nvSpPr>
        <xdr:cNvPr id="2059" name="Host Control  86">
          <a:extLst>
            <a:ext uri="{FF2B5EF4-FFF2-40B4-BE49-F238E27FC236}">
              <a16:creationId xmlns:a16="http://schemas.microsoft.com/office/drawing/2014/main" id="{00000000-0008-0000-0100-00000B080000}"/>
            </a:ext>
          </a:extLst>
        </xdr:cNvPr>
        <xdr:cNvSpPr>
          <a:spLocks noChangeArrowheads="1" noChangeShapeType="1"/>
        </xdr:cNvSpPr>
      </xdr:nvSpPr>
      <xdr:spPr bwMode="auto">
        <a:xfrm>
          <a:off x="8130540" y="133350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5</xdr:row>
      <xdr:rowOff>0</xdr:rowOff>
    </xdr:from>
    <xdr:to>
      <xdr:col>9</xdr:col>
      <xdr:colOff>312420</xdr:colOff>
      <xdr:row>6</xdr:row>
      <xdr:rowOff>0</xdr:rowOff>
    </xdr:to>
    <xdr:sp macro="" textlink="">
      <xdr:nvSpPr>
        <xdr:cNvPr id="2060" name="Host Control  87">
          <a:extLst>
            <a:ext uri="{FF2B5EF4-FFF2-40B4-BE49-F238E27FC236}">
              <a16:creationId xmlns:a16="http://schemas.microsoft.com/office/drawing/2014/main" id="{00000000-0008-0000-0100-00000C080000}"/>
            </a:ext>
          </a:extLst>
        </xdr:cNvPr>
        <xdr:cNvSpPr>
          <a:spLocks noChangeArrowheads="1" noChangeShapeType="1"/>
        </xdr:cNvSpPr>
      </xdr:nvSpPr>
      <xdr:spPr bwMode="auto">
        <a:xfrm>
          <a:off x="9083040" y="133350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6</xdr:col>
      <xdr:colOff>0</xdr:colOff>
      <xdr:row>6</xdr:row>
      <xdr:rowOff>0</xdr:rowOff>
    </xdr:from>
    <xdr:to>
      <xdr:col>6</xdr:col>
      <xdr:colOff>480060</xdr:colOff>
      <xdr:row>7</xdr:row>
      <xdr:rowOff>0</xdr:rowOff>
    </xdr:to>
    <xdr:sp macro="" textlink="">
      <xdr:nvSpPr>
        <xdr:cNvPr id="2139" name="Host Control  88">
          <a:extLst>
            <a:ext uri="{FF2B5EF4-FFF2-40B4-BE49-F238E27FC236}">
              <a16:creationId xmlns:a16="http://schemas.microsoft.com/office/drawing/2014/main" id="{00000000-0008-0000-0100-00005B080000}"/>
            </a:ext>
          </a:extLst>
        </xdr:cNvPr>
        <xdr:cNvSpPr>
          <a:spLocks noChangeArrowheads="1" noChangeShapeType="1"/>
        </xdr:cNvSpPr>
      </xdr:nvSpPr>
      <xdr:spPr bwMode="auto">
        <a:xfrm>
          <a:off x="6949440" y="1600200"/>
          <a:ext cx="4800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0</xdr:colOff>
      <xdr:row>6</xdr:row>
      <xdr:rowOff>0</xdr:rowOff>
    </xdr:from>
    <xdr:to>
      <xdr:col>8</xdr:col>
      <xdr:colOff>251460</xdr:colOff>
      <xdr:row>7</xdr:row>
      <xdr:rowOff>0</xdr:rowOff>
    </xdr:to>
    <xdr:sp macro="" textlink="">
      <xdr:nvSpPr>
        <xdr:cNvPr id="2140" name="Host Control  89">
          <a:extLst>
            <a:ext uri="{FF2B5EF4-FFF2-40B4-BE49-F238E27FC236}">
              <a16:creationId xmlns:a16="http://schemas.microsoft.com/office/drawing/2014/main" id="{00000000-0008-0000-0100-00005C080000}"/>
            </a:ext>
          </a:extLst>
        </xdr:cNvPr>
        <xdr:cNvSpPr>
          <a:spLocks noChangeArrowheads="1" noChangeShapeType="1"/>
        </xdr:cNvSpPr>
      </xdr:nvSpPr>
      <xdr:spPr bwMode="auto">
        <a:xfrm>
          <a:off x="8130540" y="1600200"/>
          <a:ext cx="12039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8</xdr:col>
      <xdr:colOff>0</xdr:colOff>
      <xdr:row>6</xdr:row>
      <xdr:rowOff>0</xdr:rowOff>
    </xdr:from>
    <xdr:to>
      <xdr:col>9</xdr:col>
      <xdr:colOff>312420</xdr:colOff>
      <xdr:row>7</xdr:row>
      <xdr:rowOff>0</xdr:rowOff>
    </xdr:to>
    <xdr:sp macro="" textlink="">
      <xdr:nvSpPr>
        <xdr:cNvPr id="2141" name="Host Control  90">
          <a:extLst>
            <a:ext uri="{FF2B5EF4-FFF2-40B4-BE49-F238E27FC236}">
              <a16:creationId xmlns:a16="http://schemas.microsoft.com/office/drawing/2014/main" id="{00000000-0008-0000-0100-00005D080000}"/>
            </a:ext>
          </a:extLst>
        </xdr:cNvPr>
        <xdr:cNvSpPr>
          <a:spLocks noChangeArrowheads="1" noChangeShapeType="1"/>
        </xdr:cNvSpPr>
      </xdr:nvSpPr>
      <xdr:spPr bwMode="auto">
        <a:xfrm>
          <a:off x="9083040" y="1600200"/>
          <a:ext cx="975360" cy="2667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7620</xdr:colOff>
      <xdr:row>1</xdr:row>
      <xdr:rowOff>2540</xdr:rowOff>
    </xdr:to>
    <xdr:sp macro="" textlink="">
      <xdr:nvSpPr>
        <xdr:cNvPr id="3073" name="Host Control  1" hidden="1">
          <a:extLst>
            <a:ext uri="{63B3BB69-23CF-44E3-9099-C40C66FF867C}">
              <a14:compatExt xmlns:a14="http://schemas.microsoft.com/office/drawing/2010/main" spid="_x0000_s3073"/>
            </a:ext>
            <a:ext uri="{FF2B5EF4-FFF2-40B4-BE49-F238E27FC236}">
              <a16:creationId xmlns:a16="http://schemas.microsoft.com/office/drawing/2014/main" id="{00000000-0008-0000-0700-0000010C0000}"/>
            </a:ext>
          </a:extLst>
        </xdr:cNvPr>
        <xdr:cNvSpPr/>
      </xdr:nvSpPr>
      <xdr:spPr>
        <a:xfrm>
          <a:off x="0" y="0"/>
          <a:ext cx="7620" cy="167640"/>
        </a:xfrm>
        <a:prstGeom prst="rect">
          <a:avLst/>
        </a:prstGeom>
      </xdr:spPr>
    </xdr:sp>
    <xdr:clientData/>
  </xdr:twoCellAnchor>
  <xdr:twoCellAnchor editAs="oneCell">
    <xdr:from>
      <xdr:col>0</xdr:col>
      <xdr:colOff>0</xdr:colOff>
      <xdr:row>0</xdr:row>
      <xdr:rowOff>0</xdr:rowOff>
    </xdr:from>
    <xdr:to>
      <xdr:col>0</xdr:col>
      <xdr:colOff>7620</xdr:colOff>
      <xdr:row>1</xdr:row>
      <xdr:rowOff>2540</xdr:rowOff>
    </xdr:to>
    <xdr:sp macro="" textlink="">
      <xdr:nvSpPr>
        <xdr:cNvPr id="3074" name="Host Control  2" hidden="1">
          <a:extLst>
            <a:ext uri="{63B3BB69-23CF-44E3-9099-C40C66FF867C}">
              <a14:compatExt xmlns:a14="http://schemas.microsoft.com/office/drawing/2010/main" spid="_x0000_s3074"/>
            </a:ext>
            <a:ext uri="{FF2B5EF4-FFF2-40B4-BE49-F238E27FC236}">
              <a16:creationId xmlns:a16="http://schemas.microsoft.com/office/drawing/2014/main" id="{00000000-0008-0000-0700-0000020C0000}"/>
            </a:ext>
          </a:extLst>
        </xdr:cNvPr>
        <xdr:cNvSpPr/>
      </xdr:nvSpPr>
      <xdr:spPr>
        <a:xfrm>
          <a:off x="0" y="0"/>
          <a:ext cx="7620" cy="167640"/>
        </a:xfrm>
        <a:prstGeom prst="rect">
          <a:avLst/>
        </a:prstGeom>
      </xdr:spPr>
    </xdr:sp>
    <xdr:clientData/>
  </xdr:twoCellAnchor>
  <xdr:twoCellAnchor editAs="oneCell">
    <xdr:from>
      <xdr:col>0</xdr:col>
      <xdr:colOff>0</xdr:colOff>
      <xdr:row>0</xdr:row>
      <xdr:rowOff>0</xdr:rowOff>
    </xdr:from>
    <xdr:to>
      <xdr:col>0</xdr:col>
      <xdr:colOff>7620</xdr:colOff>
      <xdr:row>1</xdr:row>
      <xdr:rowOff>2540</xdr:rowOff>
    </xdr:to>
    <xdr:sp macro="" textlink="">
      <xdr:nvSpPr>
        <xdr:cNvPr id="3075" name="Host Control  3" hidden="1">
          <a:extLst>
            <a:ext uri="{63B3BB69-23CF-44E3-9099-C40C66FF867C}">
              <a14:compatExt xmlns:a14="http://schemas.microsoft.com/office/drawing/2010/main" spid="_x0000_s3075"/>
            </a:ext>
            <a:ext uri="{FF2B5EF4-FFF2-40B4-BE49-F238E27FC236}">
              <a16:creationId xmlns:a16="http://schemas.microsoft.com/office/drawing/2014/main" id="{00000000-0008-0000-0700-0000030C0000}"/>
            </a:ext>
          </a:extLst>
        </xdr:cNvPr>
        <xdr:cNvSpPr/>
      </xdr:nvSpPr>
      <xdr:spPr>
        <a:xfrm>
          <a:off x="0" y="0"/>
          <a:ext cx="7620" cy="167640"/>
        </a:xfrm>
        <a:prstGeom prst="rect">
          <a:avLst/>
        </a:prstGeom>
      </xdr:spPr>
    </xdr:sp>
    <xdr:clientData/>
  </xdr:twoCellAnchor>
  <xdr:twoCellAnchor editAs="oneCell">
    <xdr:from>
      <xdr:col>0</xdr:col>
      <xdr:colOff>0</xdr:colOff>
      <xdr:row>48</xdr:row>
      <xdr:rowOff>0</xdr:rowOff>
    </xdr:from>
    <xdr:to>
      <xdr:col>0</xdr:col>
      <xdr:colOff>7620</xdr:colOff>
      <xdr:row>49</xdr:row>
      <xdr:rowOff>0</xdr:rowOff>
    </xdr:to>
    <xdr:sp macro="" textlink="">
      <xdr:nvSpPr>
        <xdr:cNvPr id="3076" name="Host Control  4" hidden="1">
          <a:extLst>
            <a:ext uri="{63B3BB69-23CF-44E3-9099-C40C66FF867C}">
              <a14:compatExt xmlns:a14="http://schemas.microsoft.com/office/drawing/2010/main" spid="_x0000_s3076"/>
            </a:ext>
            <a:ext uri="{FF2B5EF4-FFF2-40B4-BE49-F238E27FC236}">
              <a16:creationId xmlns:a16="http://schemas.microsoft.com/office/drawing/2014/main" id="{00000000-0008-0000-0700-0000040C0000}"/>
            </a:ext>
          </a:extLst>
        </xdr:cNvPr>
        <xdr:cNvSpPr/>
      </xdr:nvSpPr>
      <xdr:spPr>
        <a:xfrm>
          <a:off x="0" y="8159750"/>
          <a:ext cx="7620" cy="158750"/>
        </a:xfrm>
        <a:prstGeom prst="rect">
          <a:avLst/>
        </a:prstGeom>
      </xdr:spPr>
    </xdr:sp>
    <xdr:clientData/>
  </xdr:twoCellAnchor>
  <xdr:twoCellAnchor editAs="oneCell">
    <xdr:from>
      <xdr:col>0</xdr:col>
      <xdr:colOff>0</xdr:colOff>
      <xdr:row>48</xdr:row>
      <xdr:rowOff>0</xdr:rowOff>
    </xdr:from>
    <xdr:to>
      <xdr:col>0</xdr:col>
      <xdr:colOff>7620</xdr:colOff>
      <xdr:row>49</xdr:row>
      <xdr:rowOff>0</xdr:rowOff>
    </xdr:to>
    <xdr:sp macro="" textlink="">
      <xdr:nvSpPr>
        <xdr:cNvPr id="3077" name="Host Control  5" hidden="1">
          <a:extLst>
            <a:ext uri="{63B3BB69-23CF-44E3-9099-C40C66FF867C}">
              <a14:compatExt xmlns:a14="http://schemas.microsoft.com/office/drawing/2010/main" spid="_x0000_s3077"/>
            </a:ext>
            <a:ext uri="{FF2B5EF4-FFF2-40B4-BE49-F238E27FC236}">
              <a16:creationId xmlns:a16="http://schemas.microsoft.com/office/drawing/2014/main" id="{00000000-0008-0000-0700-0000050C0000}"/>
            </a:ext>
          </a:extLst>
        </xdr:cNvPr>
        <xdr:cNvSpPr/>
      </xdr:nvSpPr>
      <xdr:spPr>
        <a:xfrm>
          <a:off x="0" y="8159750"/>
          <a:ext cx="7620" cy="158750"/>
        </a:xfrm>
        <a:prstGeom prst="rect">
          <a:avLst/>
        </a:prstGeom>
      </xdr:spPr>
    </xdr:sp>
    <xdr:clientData/>
  </xdr:twoCellAnchor>
  <xdr:twoCellAnchor editAs="oneCell">
    <xdr:from>
      <xdr:col>0</xdr:col>
      <xdr:colOff>0</xdr:colOff>
      <xdr:row>48</xdr:row>
      <xdr:rowOff>0</xdr:rowOff>
    </xdr:from>
    <xdr:to>
      <xdr:col>0</xdr:col>
      <xdr:colOff>7620</xdr:colOff>
      <xdr:row>49</xdr:row>
      <xdr:rowOff>0</xdr:rowOff>
    </xdr:to>
    <xdr:sp macro="" textlink="">
      <xdr:nvSpPr>
        <xdr:cNvPr id="3078" name="Host Control  6" hidden="1">
          <a:extLst>
            <a:ext uri="{63B3BB69-23CF-44E3-9099-C40C66FF867C}">
              <a14:compatExt xmlns:a14="http://schemas.microsoft.com/office/drawing/2010/main" spid="_x0000_s3078"/>
            </a:ext>
            <a:ext uri="{FF2B5EF4-FFF2-40B4-BE49-F238E27FC236}">
              <a16:creationId xmlns:a16="http://schemas.microsoft.com/office/drawing/2014/main" id="{00000000-0008-0000-0700-0000060C0000}"/>
            </a:ext>
          </a:extLst>
        </xdr:cNvPr>
        <xdr:cNvSpPr/>
      </xdr:nvSpPr>
      <xdr:spPr>
        <a:xfrm>
          <a:off x="0" y="8159750"/>
          <a:ext cx="7620" cy="158750"/>
        </a:xfrm>
        <a:prstGeom prst="rect">
          <a:avLst/>
        </a:prstGeom>
      </xdr:spPr>
    </xdr:sp>
    <xdr:clientData/>
  </xdr:twoCellAnchor>
  <xdr:twoCellAnchor editAs="oneCell">
    <xdr:from>
      <xdr:col>0</xdr:col>
      <xdr:colOff>0</xdr:colOff>
      <xdr:row>48</xdr:row>
      <xdr:rowOff>0</xdr:rowOff>
    </xdr:from>
    <xdr:to>
      <xdr:col>0</xdr:col>
      <xdr:colOff>7620</xdr:colOff>
      <xdr:row>49</xdr:row>
      <xdr:rowOff>0</xdr:rowOff>
    </xdr:to>
    <xdr:sp macro="" textlink="">
      <xdr:nvSpPr>
        <xdr:cNvPr id="3079" name="Host Control  7" hidden="1">
          <a:extLst>
            <a:ext uri="{63B3BB69-23CF-44E3-9099-C40C66FF867C}">
              <a14:compatExt xmlns:a14="http://schemas.microsoft.com/office/drawing/2010/main" spid="_x0000_s3079"/>
            </a:ext>
            <a:ext uri="{FF2B5EF4-FFF2-40B4-BE49-F238E27FC236}">
              <a16:creationId xmlns:a16="http://schemas.microsoft.com/office/drawing/2014/main" id="{00000000-0008-0000-0700-0000070C0000}"/>
            </a:ext>
          </a:extLst>
        </xdr:cNvPr>
        <xdr:cNvSpPr/>
      </xdr:nvSpPr>
      <xdr:spPr>
        <a:xfrm>
          <a:off x="0" y="8159750"/>
          <a:ext cx="7620" cy="158750"/>
        </a:xfrm>
        <a:prstGeom prst="rect">
          <a:avLst/>
        </a:prstGeom>
      </xdr:spPr>
    </xdr:sp>
    <xdr:clientData/>
  </xdr:twoCellAnchor>
  <xdr:twoCellAnchor editAs="oneCell">
    <xdr:from>
      <xdr:col>0</xdr:col>
      <xdr:colOff>0</xdr:colOff>
      <xdr:row>48</xdr:row>
      <xdr:rowOff>0</xdr:rowOff>
    </xdr:from>
    <xdr:to>
      <xdr:col>0</xdr:col>
      <xdr:colOff>7620</xdr:colOff>
      <xdr:row>49</xdr:row>
      <xdr:rowOff>0</xdr:rowOff>
    </xdr:to>
    <xdr:sp macro="" textlink="">
      <xdr:nvSpPr>
        <xdr:cNvPr id="3080" name="Host Control  8" hidden="1">
          <a:extLst>
            <a:ext uri="{63B3BB69-23CF-44E3-9099-C40C66FF867C}">
              <a14:compatExt xmlns:a14="http://schemas.microsoft.com/office/drawing/2010/main" spid="_x0000_s3080"/>
            </a:ext>
            <a:ext uri="{FF2B5EF4-FFF2-40B4-BE49-F238E27FC236}">
              <a16:creationId xmlns:a16="http://schemas.microsoft.com/office/drawing/2014/main" id="{00000000-0008-0000-0700-0000080C0000}"/>
            </a:ext>
          </a:extLst>
        </xdr:cNvPr>
        <xdr:cNvSpPr/>
      </xdr:nvSpPr>
      <xdr:spPr>
        <a:xfrm>
          <a:off x="0" y="8159750"/>
          <a:ext cx="7620" cy="158750"/>
        </a:xfrm>
        <a:prstGeom prst="rect">
          <a:avLst/>
        </a:prstGeom>
      </xdr:spPr>
    </xdr:sp>
    <xdr:clientData/>
  </xdr:twoCellAnchor>
  <xdr:twoCellAnchor editAs="oneCell">
    <xdr:from>
      <xdr:col>0</xdr:col>
      <xdr:colOff>0</xdr:colOff>
      <xdr:row>48</xdr:row>
      <xdr:rowOff>0</xdr:rowOff>
    </xdr:from>
    <xdr:to>
      <xdr:col>0</xdr:col>
      <xdr:colOff>7620</xdr:colOff>
      <xdr:row>49</xdr:row>
      <xdr:rowOff>0</xdr:rowOff>
    </xdr:to>
    <xdr:sp macro="" textlink="">
      <xdr:nvSpPr>
        <xdr:cNvPr id="3081" name="Host Control  9" hidden="1">
          <a:extLst>
            <a:ext uri="{63B3BB69-23CF-44E3-9099-C40C66FF867C}">
              <a14:compatExt xmlns:a14="http://schemas.microsoft.com/office/drawing/2010/main" spid="_x0000_s3081"/>
            </a:ext>
            <a:ext uri="{FF2B5EF4-FFF2-40B4-BE49-F238E27FC236}">
              <a16:creationId xmlns:a16="http://schemas.microsoft.com/office/drawing/2014/main" id="{00000000-0008-0000-0700-0000090C0000}"/>
            </a:ext>
          </a:extLst>
        </xdr:cNvPr>
        <xdr:cNvSpPr/>
      </xdr:nvSpPr>
      <xdr:spPr>
        <a:xfrm>
          <a:off x="0" y="8159750"/>
          <a:ext cx="7620" cy="158750"/>
        </a:xfrm>
        <a:prstGeom prst="rect">
          <a:avLst/>
        </a:prstGeom>
      </xdr:spPr>
    </xdr:sp>
    <xdr:clientData/>
  </xdr:twoCellAnchor>
  <xdr:twoCellAnchor editAs="oneCell">
    <xdr:from>
      <xdr:col>0</xdr:col>
      <xdr:colOff>0</xdr:colOff>
      <xdr:row>0</xdr:row>
      <xdr:rowOff>0</xdr:rowOff>
    </xdr:from>
    <xdr:to>
      <xdr:col>0</xdr:col>
      <xdr:colOff>7620</xdr:colOff>
      <xdr:row>1</xdr:row>
      <xdr:rowOff>0</xdr:rowOff>
    </xdr:to>
    <xdr:sp macro="" textlink="">
      <xdr:nvSpPr>
        <xdr:cNvPr id="2" name="Host Control  1">
          <a:extLst>
            <a:ext uri="{FF2B5EF4-FFF2-40B4-BE49-F238E27FC236}">
              <a16:creationId xmlns:a16="http://schemas.microsoft.com/office/drawing/2014/main" id="{00000000-0008-0000-0700-000002000000}"/>
            </a:ext>
          </a:extLst>
        </xdr:cNvPr>
        <xdr:cNvSpPr>
          <a:spLocks noChangeArrowheads="1" noChangeShapeType="1"/>
        </xdr:cNvSpPr>
      </xdr:nvSpPr>
      <xdr:spPr bwMode="auto">
        <a:xfrm>
          <a:off x="0" y="0"/>
          <a:ext cx="7620" cy="1676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0</xdr:colOff>
      <xdr:row>0</xdr:row>
      <xdr:rowOff>0</xdr:rowOff>
    </xdr:from>
    <xdr:to>
      <xdr:col>0</xdr:col>
      <xdr:colOff>7620</xdr:colOff>
      <xdr:row>1</xdr:row>
      <xdr:rowOff>0</xdr:rowOff>
    </xdr:to>
    <xdr:sp macro="" textlink="">
      <xdr:nvSpPr>
        <xdr:cNvPr id="3" name="Host Control  2">
          <a:extLst>
            <a:ext uri="{FF2B5EF4-FFF2-40B4-BE49-F238E27FC236}">
              <a16:creationId xmlns:a16="http://schemas.microsoft.com/office/drawing/2014/main" id="{00000000-0008-0000-0700-000003000000}"/>
            </a:ext>
          </a:extLst>
        </xdr:cNvPr>
        <xdr:cNvSpPr>
          <a:spLocks noChangeArrowheads="1" noChangeShapeType="1"/>
        </xdr:cNvSpPr>
      </xdr:nvSpPr>
      <xdr:spPr bwMode="auto">
        <a:xfrm>
          <a:off x="0" y="0"/>
          <a:ext cx="7620" cy="1676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0</xdr:colOff>
      <xdr:row>0</xdr:row>
      <xdr:rowOff>0</xdr:rowOff>
    </xdr:from>
    <xdr:to>
      <xdr:col>0</xdr:col>
      <xdr:colOff>7620</xdr:colOff>
      <xdr:row>1</xdr:row>
      <xdr:rowOff>0</xdr:rowOff>
    </xdr:to>
    <xdr:sp macro="" textlink="">
      <xdr:nvSpPr>
        <xdr:cNvPr id="4" name="Host Control  3">
          <a:extLst>
            <a:ext uri="{FF2B5EF4-FFF2-40B4-BE49-F238E27FC236}">
              <a16:creationId xmlns:a16="http://schemas.microsoft.com/office/drawing/2014/main" id="{00000000-0008-0000-0700-000004000000}"/>
            </a:ext>
          </a:extLst>
        </xdr:cNvPr>
        <xdr:cNvSpPr>
          <a:spLocks noChangeArrowheads="1" noChangeShapeType="1"/>
        </xdr:cNvSpPr>
      </xdr:nvSpPr>
      <xdr:spPr bwMode="auto">
        <a:xfrm>
          <a:off x="0" y="0"/>
          <a:ext cx="7620" cy="1676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0</xdr:colOff>
      <xdr:row>48</xdr:row>
      <xdr:rowOff>0</xdr:rowOff>
    </xdr:from>
    <xdr:to>
      <xdr:col>0</xdr:col>
      <xdr:colOff>7620</xdr:colOff>
      <xdr:row>49</xdr:row>
      <xdr:rowOff>0</xdr:rowOff>
    </xdr:to>
    <xdr:sp macro="" textlink="">
      <xdr:nvSpPr>
        <xdr:cNvPr id="5" name="Host Control  4">
          <a:extLst>
            <a:ext uri="{FF2B5EF4-FFF2-40B4-BE49-F238E27FC236}">
              <a16:creationId xmlns:a16="http://schemas.microsoft.com/office/drawing/2014/main" id="{00000000-0008-0000-0700-000005000000}"/>
            </a:ext>
          </a:extLst>
        </xdr:cNvPr>
        <xdr:cNvSpPr>
          <a:spLocks noChangeArrowheads="1" noChangeShapeType="1"/>
        </xdr:cNvSpPr>
      </xdr:nvSpPr>
      <xdr:spPr bwMode="auto">
        <a:xfrm>
          <a:off x="0" y="8206740"/>
          <a:ext cx="7620" cy="1676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0</xdr:colOff>
      <xdr:row>48</xdr:row>
      <xdr:rowOff>0</xdr:rowOff>
    </xdr:from>
    <xdr:to>
      <xdr:col>0</xdr:col>
      <xdr:colOff>7620</xdr:colOff>
      <xdr:row>49</xdr:row>
      <xdr:rowOff>0</xdr:rowOff>
    </xdr:to>
    <xdr:sp macro="" textlink="">
      <xdr:nvSpPr>
        <xdr:cNvPr id="6" name="Host Control  5">
          <a:extLst>
            <a:ext uri="{FF2B5EF4-FFF2-40B4-BE49-F238E27FC236}">
              <a16:creationId xmlns:a16="http://schemas.microsoft.com/office/drawing/2014/main" id="{00000000-0008-0000-0700-000006000000}"/>
            </a:ext>
          </a:extLst>
        </xdr:cNvPr>
        <xdr:cNvSpPr>
          <a:spLocks noChangeArrowheads="1" noChangeShapeType="1"/>
        </xdr:cNvSpPr>
      </xdr:nvSpPr>
      <xdr:spPr bwMode="auto">
        <a:xfrm>
          <a:off x="0" y="8206740"/>
          <a:ext cx="7620" cy="1676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0</xdr:colOff>
      <xdr:row>48</xdr:row>
      <xdr:rowOff>0</xdr:rowOff>
    </xdr:from>
    <xdr:to>
      <xdr:col>0</xdr:col>
      <xdr:colOff>7620</xdr:colOff>
      <xdr:row>49</xdr:row>
      <xdr:rowOff>0</xdr:rowOff>
    </xdr:to>
    <xdr:sp macro="" textlink="">
      <xdr:nvSpPr>
        <xdr:cNvPr id="7" name="Host Control  6">
          <a:extLst>
            <a:ext uri="{FF2B5EF4-FFF2-40B4-BE49-F238E27FC236}">
              <a16:creationId xmlns:a16="http://schemas.microsoft.com/office/drawing/2014/main" id="{00000000-0008-0000-0700-000007000000}"/>
            </a:ext>
          </a:extLst>
        </xdr:cNvPr>
        <xdr:cNvSpPr>
          <a:spLocks noChangeArrowheads="1" noChangeShapeType="1"/>
        </xdr:cNvSpPr>
      </xdr:nvSpPr>
      <xdr:spPr bwMode="auto">
        <a:xfrm>
          <a:off x="0" y="8206740"/>
          <a:ext cx="7620" cy="1676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0</xdr:colOff>
      <xdr:row>48</xdr:row>
      <xdr:rowOff>0</xdr:rowOff>
    </xdr:from>
    <xdr:to>
      <xdr:col>0</xdr:col>
      <xdr:colOff>7620</xdr:colOff>
      <xdr:row>49</xdr:row>
      <xdr:rowOff>0</xdr:rowOff>
    </xdr:to>
    <xdr:sp macro="" textlink="">
      <xdr:nvSpPr>
        <xdr:cNvPr id="8" name="Host Control  7">
          <a:extLst>
            <a:ext uri="{FF2B5EF4-FFF2-40B4-BE49-F238E27FC236}">
              <a16:creationId xmlns:a16="http://schemas.microsoft.com/office/drawing/2014/main" id="{00000000-0008-0000-0700-000008000000}"/>
            </a:ext>
          </a:extLst>
        </xdr:cNvPr>
        <xdr:cNvSpPr>
          <a:spLocks noChangeArrowheads="1" noChangeShapeType="1"/>
        </xdr:cNvSpPr>
      </xdr:nvSpPr>
      <xdr:spPr bwMode="auto">
        <a:xfrm>
          <a:off x="0" y="8206740"/>
          <a:ext cx="7620" cy="1676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0</xdr:colOff>
      <xdr:row>48</xdr:row>
      <xdr:rowOff>0</xdr:rowOff>
    </xdr:from>
    <xdr:to>
      <xdr:col>0</xdr:col>
      <xdr:colOff>7620</xdr:colOff>
      <xdr:row>49</xdr:row>
      <xdr:rowOff>0</xdr:rowOff>
    </xdr:to>
    <xdr:sp macro="" textlink="">
      <xdr:nvSpPr>
        <xdr:cNvPr id="9" name="Host Control  8">
          <a:extLst>
            <a:ext uri="{FF2B5EF4-FFF2-40B4-BE49-F238E27FC236}">
              <a16:creationId xmlns:a16="http://schemas.microsoft.com/office/drawing/2014/main" id="{00000000-0008-0000-0700-000009000000}"/>
            </a:ext>
          </a:extLst>
        </xdr:cNvPr>
        <xdr:cNvSpPr>
          <a:spLocks noChangeArrowheads="1" noChangeShapeType="1"/>
        </xdr:cNvSpPr>
      </xdr:nvSpPr>
      <xdr:spPr bwMode="auto">
        <a:xfrm>
          <a:off x="0" y="8206740"/>
          <a:ext cx="7620" cy="1676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0</xdr:colOff>
      <xdr:row>48</xdr:row>
      <xdr:rowOff>0</xdr:rowOff>
    </xdr:from>
    <xdr:to>
      <xdr:col>0</xdr:col>
      <xdr:colOff>7620</xdr:colOff>
      <xdr:row>49</xdr:row>
      <xdr:rowOff>0</xdr:rowOff>
    </xdr:to>
    <xdr:sp macro="" textlink="">
      <xdr:nvSpPr>
        <xdr:cNvPr id="10" name="Host Control  9">
          <a:extLst>
            <a:ext uri="{FF2B5EF4-FFF2-40B4-BE49-F238E27FC236}">
              <a16:creationId xmlns:a16="http://schemas.microsoft.com/office/drawing/2014/main" id="{00000000-0008-0000-0700-00000A000000}"/>
            </a:ext>
          </a:extLst>
        </xdr:cNvPr>
        <xdr:cNvSpPr>
          <a:spLocks noChangeArrowheads="1" noChangeShapeType="1"/>
        </xdr:cNvSpPr>
      </xdr:nvSpPr>
      <xdr:spPr bwMode="auto">
        <a:xfrm>
          <a:off x="0" y="8206740"/>
          <a:ext cx="7620" cy="16764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hyperlink" Target="https://drive.google.com/drive/folders/1DKb-YXjB2LRY0yP_5cWYOZT0MWPW79Tg?usp=sharing" TargetMode="External"/><Relationship Id="rId1" Type="http://schemas.openxmlformats.org/officeDocument/2006/relationships/hyperlink" Target="https://drive.google.com/drive/folders/1LQkRtaHRPpFkUFvGzfAIvXs01pTZ08kE?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tabSelected="1" topLeftCell="A5" workbookViewId="0">
      <selection activeCell="B42" sqref="A3:B42"/>
    </sheetView>
  </sheetViews>
  <sheetFormatPr defaultColWidth="8.796875" defaultRowHeight="13.8"/>
  <cols>
    <col min="1" max="1" width="16.69921875" style="52" customWidth="1"/>
    <col min="2" max="2" width="140.8984375" style="37" customWidth="1"/>
    <col min="3" max="16383" width="8.796875" style="37" customWidth="1"/>
    <col min="16384" max="16384" width="8.796875" style="37"/>
  </cols>
  <sheetData>
    <row r="1" spans="1:2" ht="30.6">
      <c r="A1" s="57" t="s">
        <v>0</v>
      </c>
      <c r="B1" s="57"/>
    </row>
    <row r="2" spans="1:2">
      <c r="A2"/>
      <c r="B2"/>
    </row>
    <row r="3" spans="1:2" ht="15.6">
      <c r="A3" s="53" t="s">
        <v>1</v>
      </c>
      <c r="B3" s="54">
        <v>1977</v>
      </c>
    </row>
    <row r="4" spans="1:2" s="50" customFormat="1" ht="15.6">
      <c r="A4" s="53" t="s">
        <v>2</v>
      </c>
      <c r="B4" s="55" t="s">
        <v>3</v>
      </c>
    </row>
    <row r="5" spans="1:2" ht="31.2">
      <c r="A5" s="53" t="s">
        <v>4</v>
      </c>
      <c r="B5" s="55" t="s">
        <v>5</v>
      </c>
    </row>
    <row r="6" spans="1:2" ht="15.6">
      <c r="A6" s="53" t="s">
        <v>6</v>
      </c>
      <c r="B6" s="55" t="s">
        <v>7</v>
      </c>
    </row>
    <row r="7" spans="1:2" ht="15.45" customHeight="1">
      <c r="A7" s="53" t="s">
        <v>8</v>
      </c>
      <c r="B7" s="54">
        <v>3</v>
      </c>
    </row>
    <row r="8" spans="1:2" ht="15.6">
      <c r="A8" s="53" t="s">
        <v>9</v>
      </c>
      <c r="B8" s="54" t="s">
        <v>10</v>
      </c>
    </row>
    <row r="9" spans="1:2" ht="15.45" customHeight="1">
      <c r="A9" s="58" t="s">
        <v>11</v>
      </c>
      <c r="B9" s="54" t="s">
        <v>12</v>
      </c>
    </row>
    <row r="10" spans="1:2" ht="15.6">
      <c r="A10" s="58"/>
      <c r="B10" s="54" t="s">
        <v>13</v>
      </c>
    </row>
    <row r="11" spans="1:2" ht="15.6">
      <c r="A11" s="58"/>
      <c r="B11" s="54" t="s">
        <v>14</v>
      </c>
    </row>
    <row r="12" spans="1:2" ht="15.6">
      <c r="A12" s="58"/>
      <c r="B12" s="54" t="s">
        <v>15</v>
      </c>
    </row>
    <row r="13" spans="1:2" s="51" customFormat="1" ht="15.6">
      <c r="A13" s="58"/>
      <c r="B13" s="54" t="s">
        <v>16</v>
      </c>
    </row>
    <row r="14" spans="1:2" ht="15.6">
      <c r="A14" s="58"/>
      <c r="B14" s="54" t="s">
        <v>17</v>
      </c>
    </row>
    <row r="15" spans="1:2" ht="15.45" customHeight="1">
      <c r="A15" s="58"/>
      <c r="B15" s="54" t="s">
        <v>18</v>
      </c>
    </row>
    <row r="16" spans="1:2" ht="15.45" customHeight="1">
      <c r="A16" s="58"/>
      <c r="B16" s="54" t="s">
        <v>19</v>
      </c>
    </row>
    <row r="17" spans="1:2" ht="15.45" customHeight="1">
      <c r="A17" s="53" t="s">
        <v>20</v>
      </c>
      <c r="B17" s="54"/>
    </row>
    <row r="18" spans="1:2" ht="15.45" customHeight="1">
      <c r="A18" s="53" t="s">
        <v>21</v>
      </c>
      <c r="B18" s="54" t="s">
        <v>22</v>
      </c>
    </row>
    <row r="19" spans="1:2" ht="15.45" customHeight="1">
      <c r="A19" s="58" t="s">
        <v>23</v>
      </c>
      <c r="B19" s="54" t="s">
        <v>24</v>
      </c>
    </row>
    <row r="20" spans="1:2" ht="15.6">
      <c r="A20" s="58"/>
      <c r="B20" s="54" t="s">
        <v>25</v>
      </c>
    </row>
    <row r="21" spans="1:2" ht="15.6">
      <c r="A21" s="58"/>
      <c r="B21" s="54" t="s">
        <v>26</v>
      </c>
    </row>
    <row r="22" spans="1:2" ht="15.6">
      <c r="A22" s="58"/>
      <c r="B22" s="54" t="s">
        <v>27</v>
      </c>
    </row>
    <row r="23" spans="1:2" ht="15.45" customHeight="1">
      <c r="A23" s="58"/>
      <c r="B23" s="54" t="s">
        <v>28</v>
      </c>
    </row>
    <row r="24" spans="1:2" ht="15.6">
      <c r="A24" s="58"/>
      <c r="B24" s="54" t="s">
        <v>29</v>
      </c>
    </row>
    <row r="25" spans="1:2" ht="15.6">
      <c r="A25" s="58"/>
      <c r="B25" s="54" t="s">
        <v>30</v>
      </c>
    </row>
    <row r="26" spans="1:2" ht="15.45" customHeight="1">
      <c r="A26" s="58"/>
      <c r="B26" s="54" t="s">
        <v>31</v>
      </c>
    </row>
    <row r="27" spans="1:2" ht="15.6">
      <c r="A27" s="58"/>
      <c r="B27" s="54" t="s">
        <v>32</v>
      </c>
    </row>
    <row r="28" spans="1:2" ht="15.6">
      <c r="A28" s="53" t="s">
        <v>33</v>
      </c>
      <c r="B28" s="54" t="s">
        <v>34</v>
      </c>
    </row>
    <row r="29" spans="1:2" ht="15.6">
      <c r="A29" s="53" t="s">
        <v>35</v>
      </c>
      <c r="B29" s="54">
        <v>10</v>
      </c>
    </row>
    <row r="30" spans="1:2" ht="31.05" customHeight="1">
      <c r="A30" s="53" t="s">
        <v>36</v>
      </c>
      <c r="B30" s="54" t="s">
        <v>37</v>
      </c>
    </row>
    <row r="31" spans="1:2" ht="31.05" customHeight="1">
      <c r="A31" s="53" t="s">
        <v>38</v>
      </c>
      <c r="B31" s="55" t="b">
        <v>1</v>
      </c>
    </row>
    <row r="32" spans="1:2" ht="31.05" customHeight="1">
      <c r="A32" s="58" t="s">
        <v>39</v>
      </c>
      <c r="B32" s="54" t="s">
        <v>40</v>
      </c>
    </row>
    <row r="33" spans="1:2" ht="15.6">
      <c r="A33" s="58"/>
      <c r="B33" s="54" t="s">
        <v>41</v>
      </c>
    </row>
    <row r="34" spans="1:2" ht="15.45" customHeight="1">
      <c r="A34" s="58"/>
      <c r="B34" s="54" t="s">
        <v>42</v>
      </c>
    </row>
    <row r="35" spans="1:2" ht="15.6">
      <c r="A35" s="58"/>
      <c r="B35" s="54" t="s">
        <v>43</v>
      </c>
    </row>
    <row r="36" spans="1:2" ht="15.6">
      <c r="A36" s="58"/>
      <c r="B36" s="54" t="s">
        <v>44</v>
      </c>
    </row>
    <row r="37" spans="1:2" ht="15.6">
      <c r="A37" s="58"/>
      <c r="B37" s="54" t="s">
        <v>45</v>
      </c>
    </row>
    <row r="38" spans="1:2" ht="31.05" customHeight="1">
      <c r="A38" s="58"/>
      <c r="B38" s="54" t="s">
        <v>46</v>
      </c>
    </row>
    <row r="39" spans="1:2" ht="15.45" customHeight="1">
      <c r="A39" s="58"/>
      <c r="B39" s="54" t="s">
        <v>47</v>
      </c>
    </row>
    <row r="40" spans="1:2" ht="31.2">
      <c r="A40" s="53" t="s">
        <v>48</v>
      </c>
      <c r="B40" s="54">
        <v>5</v>
      </c>
    </row>
    <row r="41" spans="1:2" ht="15.6">
      <c r="A41" s="53" t="s">
        <v>49</v>
      </c>
      <c r="B41" s="54" t="b">
        <v>1</v>
      </c>
    </row>
    <row r="42" spans="1:2" ht="15.6">
      <c r="A42" s="53" t="s">
        <v>50</v>
      </c>
      <c r="B42" s="54" t="s">
        <v>51</v>
      </c>
    </row>
  </sheetData>
  <mergeCells count="4">
    <mergeCell ref="A1:B1"/>
    <mergeCell ref="A9:A16"/>
    <mergeCell ref="A19:A27"/>
    <mergeCell ref="A32:A39"/>
  </mergeCells>
  <pageMargins left="0.97" right="0.05" top="0.54" bottom="0.5" header="0.32" footer="0.2"/>
  <pageSetup paperSize="9" orientation="portrait" useFirstPageNumber="1"/>
  <headerFooter>
    <oddFooter>&amp;L&amp;F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
  <sheetViews>
    <sheetView workbookViewId="0">
      <selection activeCell="C11" sqref="C11"/>
    </sheetView>
  </sheetViews>
  <sheetFormatPr defaultColWidth="8.796875" defaultRowHeight="21" customHeight="1"/>
  <cols>
    <col min="1" max="1" width="38" style="37" customWidth="1"/>
    <col min="2" max="2" width="7.5" style="37" customWidth="1"/>
    <col min="3" max="3" width="14" style="37" customWidth="1"/>
    <col min="4" max="4" width="15" style="37" customWidth="1"/>
    <col min="5" max="5" width="11" style="37" customWidth="1"/>
    <col min="6" max="6" width="5.69921875" style="37" customWidth="1"/>
    <col min="7" max="7" width="15.5" style="37" customWidth="1"/>
    <col min="8" max="8" width="12.5" style="37" customWidth="1"/>
    <col min="9" max="9" width="8.69921875" style="37" customWidth="1"/>
    <col min="10" max="10" width="29.5" style="37" customWidth="1"/>
    <col min="11" max="12" width="17.3984375" style="37" customWidth="1"/>
    <col min="13" max="13" width="8.796875" style="37" customWidth="1"/>
    <col min="14" max="16384" width="8.796875" style="37"/>
  </cols>
  <sheetData>
    <row r="1" spans="1:10" ht="21" customHeight="1">
      <c r="A1" s="38" t="s">
        <v>52</v>
      </c>
      <c r="B1" s="38" t="s">
        <v>53</v>
      </c>
      <c r="C1" s="38" t="s">
        <v>54</v>
      </c>
      <c r="D1" s="38" t="s">
        <v>55</v>
      </c>
      <c r="E1" s="38" t="s">
        <v>56</v>
      </c>
      <c r="F1" s="38" t="s">
        <v>57</v>
      </c>
      <c r="G1" s="38" t="s">
        <v>58</v>
      </c>
      <c r="H1" s="38" t="s">
        <v>59</v>
      </c>
      <c r="I1" s="38" t="s">
        <v>60</v>
      </c>
      <c r="J1" s="38" t="s">
        <v>61</v>
      </c>
    </row>
    <row r="2" spans="1:10" ht="21" customHeight="1">
      <c r="A2" s="39" t="s">
        <v>62</v>
      </c>
      <c r="B2" s="39"/>
      <c r="C2" s="39"/>
      <c r="D2" s="39"/>
      <c r="E2" s="39"/>
      <c r="F2" s="39"/>
      <c r="G2" s="49"/>
      <c r="H2" s="49"/>
      <c r="I2" s="49"/>
      <c r="J2" s="39" t="s">
        <v>63</v>
      </c>
    </row>
    <row r="3" spans="1:10" ht="21" customHeight="1">
      <c r="A3" s="39" t="s">
        <v>64</v>
      </c>
      <c r="B3" s="39"/>
      <c r="C3" s="39"/>
      <c r="D3" s="39"/>
      <c r="E3" s="39"/>
      <c r="F3" s="39"/>
      <c r="G3" s="49"/>
      <c r="H3" s="49"/>
      <c r="I3" s="49"/>
      <c r="J3" s="39" t="s">
        <v>65</v>
      </c>
    </row>
    <row r="4" spans="1:10" ht="21" customHeight="1">
      <c r="A4" s="39" t="s">
        <v>66</v>
      </c>
      <c r="B4" s="39"/>
      <c r="C4" s="39"/>
      <c r="D4" s="39"/>
      <c r="E4" s="39"/>
      <c r="F4" s="39"/>
      <c r="G4" s="49"/>
      <c r="H4" s="49"/>
      <c r="I4" s="49"/>
      <c r="J4" s="39" t="s">
        <v>67</v>
      </c>
    </row>
    <row r="5" spans="1:10" ht="21" customHeight="1">
      <c r="A5" s="39" t="s">
        <v>68</v>
      </c>
      <c r="B5" s="39"/>
      <c r="C5" s="39"/>
      <c r="D5" s="39"/>
      <c r="E5" s="39"/>
      <c r="F5" s="39"/>
      <c r="G5" s="49"/>
      <c r="H5" s="49"/>
      <c r="I5" s="49"/>
      <c r="J5" s="39" t="s">
        <v>67</v>
      </c>
    </row>
    <row r="6" spans="1:10" ht="21" customHeight="1">
      <c r="A6" s="39" t="s">
        <v>69</v>
      </c>
      <c r="B6" s="39"/>
      <c r="C6" s="39"/>
      <c r="D6" s="39"/>
      <c r="E6" s="39"/>
      <c r="F6" s="39"/>
      <c r="G6" s="49"/>
      <c r="H6" s="49"/>
      <c r="I6" s="49"/>
      <c r="J6" s="39" t="s">
        <v>67</v>
      </c>
    </row>
    <row r="7" spans="1:10" ht="21" customHeight="1">
      <c r="A7" s="39" t="s">
        <v>70</v>
      </c>
      <c r="B7" s="39"/>
      <c r="C7" s="39"/>
      <c r="D7" s="39"/>
      <c r="E7" s="39"/>
      <c r="F7" s="39"/>
      <c r="G7" s="49"/>
      <c r="H7" s="49"/>
      <c r="I7" s="49"/>
      <c r="J7" s="39" t="s">
        <v>71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election activeCell="B12" sqref="B12"/>
    </sheetView>
  </sheetViews>
  <sheetFormatPr defaultColWidth="8.796875" defaultRowHeight="13.2"/>
  <cols>
    <col min="1" max="1" width="11.3984375" style="47" customWidth="1"/>
    <col min="2" max="2" width="118.59765625" style="48" customWidth="1"/>
    <col min="3" max="6" width="8.3984375" style="48" customWidth="1"/>
    <col min="7" max="16383" width="8.796875" style="48" customWidth="1"/>
    <col min="16384" max="16384" width="8.796875" style="48"/>
  </cols>
  <sheetData>
    <row r="1" spans="1:2" ht="15.6">
      <c r="A1" s="38" t="s">
        <v>72</v>
      </c>
      <c r="B1" s="38" t="s">
        <v>73</v>
      </c>
    </row>
    <row r="2" spans="1:2" ht="15.6">
      <c r="A2" s="39" t="s">
        <v>74</v>
      </c>
      <c r="B2" s="39" t="s">
        <v>75</v>
      </c>
    </row>
    <row r="3" spans="1:2" ht="31.2">
      <c r="A3" s="39" t="s">
        <v>76</v>
      </c>
      <c r="B3" s="39" t="s">
        <v>77</v>
      </c>
    </row>
    <row r="4" spans="1:2" ht="15.6">
      <c r="A4" s="39" t="s">
        <v>78</v>
      </c>
      <c r="B4" s="39" t="s">
        <v>79</v>
      </c>
    </row>
    <row r="5" spans="1:2" ht="31.2">
      <c r="A5" s="39" t="s">
        <v>80</v>
      </c>
      <c r="B5" s="39" t="s">
        <v>81</v>
      </c>
    </row>
    <row r="6" spans="1:2" ht="31.2">
      <c r="A6" s="39" t="s">
        <v>82</v>
      </c>
      <c r="B6" s="39" t="s">
        <v>83</v>
      </c>
    </row>
    <row r="7" spans="1:2" ht="15.6">
      <c r="A7" s="39" t="s">
        <v>84</v>
      </c>
      <c r="B7" s="39" t="s">
        <v>85</v>
      </c>
    </row>
    <row r="8" spans="1:2" ht="31.2">
      <c r="A8" s="39" t="s">
        <v>86</v>
      </c>
      <c r="B8" s="39" t="s">
        <v>87</v>
      </c>
    </row>
  </sheetData>
  <pageMargins left="0.7" right="0.7" top="0.75" bottom="0.75" header="0.3" footer="0.3"/>
  <pageSetup orientation="portrait" useFirstPageNumber="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
  <sheetViews>
    <sheetView workbookViewId="0">
      <selection activeCell="D11" sqref="D11"/>
    </sheetView>
  </sheetViews>
  <sheetFormatPr defaultColWidth="9.09765625" defaultRowHeight="19.2" customHeight="1"/>
  <cols>
    <col min="1" max="1" width="9" style="44" customWidth="1"/>
    <col min="2" max="2" width="11.69921875" style="44" customWidth="1"/>
    <col min="3" max="3" width="10" style="44" customWidth="1"/>
    <col min="4" max="4" width="56.3984375" style="44" customWidth="1"/>
    <col min="5" max="5" width="9.09765625" style="44" customWidth="1"/>
    <col min="6" max="16384" width="9.09765625" style="44"/>
  </cols>
  <sheetData>
    <row r="1" spans="1:4" ht="19.2" customHeight="1">
      <c r="A1" s="45" t="s">
        <v>88</v>
      </c>
      <c r="B1" s="45" t="s">
        <v>89</v>
      </c>
      <c r="C1" s="45" t="s">
        <v>90</v>
      </c>
      <c r="D1" s="46" t="s">
        <v>91</v>
      </c>
    </row>
  </sheetData>
  <pageMargins left="0.7" right="0.7" top="0.75" bottom="0.75" header="0.3" footer="0.3"/>
  <pageSetup paperSize="9" orientation="portrait" useFirstPageNumber="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5"/>
  <sheetViews>
    <sheetView zoomScale="70" zoomScaleNormal="70" workbookViewId="0">
      <selection sqref="A1:L165"/>
    </sheetView>
  </sheetViews>
  <sheetFormatPr defaultColWidth="11.5" defaultRowHeight="13.8"/>
  <cols>
    <col min="1" max="1" width="8.5" style="41" customWidth="1"/>
    <col min="2" max="2" width="167.796875" style="41" customWidth="1"/>
    <col min="3" max="3" width="10.19921875" style="41" customWidth="1"/>
    <col min="4" max="4" width="9.19921875" style="41" customWidth="1"/>
    <col min="5" max="5" width="4.296875" style="41" customWidth="1"/>
    <col min="6" max="6" width="10.5" style="41" customWidth="1"/>
    <col min="7" max="7" width="10.59765625" style="41" customWidth="1"/>
    <col min="8" max="8" width="10.5" style="41" customWidth="1"/>
    <col min="9" max="9" width="10.59765625" style="41" customWidth="1"/>
    <col min="10" max="10" width="48.8984375" style="41" customWidth="1"/>
    <col min="11" max="11" width="45.5" style="41" customWidth="1"/>
    <col min="12" max="12" width="5.8984375" style="41" customWidth="1"/>
    <col min="13" max="16355" width="11.5" style="41" customWidth="1"/>
    <col min="16356" max="16384" width="11.5" style="41"/>
  </cols>
  <sheetData>
    <row r="1" spans="1:12">
      <c r="A1" s="42"/>
      <c r="B1" s="42"/>
      <c r="C1" s="42"/>
      <c r="D1" s="42"/>
      <c r="E1" s="42"/>
      <c r="F1" s="42"/>
      <c r="G1" s="42"/>
      <c r="H1" s="42"/>
      <c r="I1" s="42"/>
      <c r="J1" s="42"/>
      <c r="K1" s="42"/>
      <c r="L1" s="42"/>
    </row>
    <row r="2" spans="1:12" ht="46.8">
      <c r="A2" s="43" t="s">
        <v>92</v>
      </c>
      <c r="B2" s="43" t="s">
        <v>93</v>
      </c>
      <c r="C2" s="43" t="s">
        <v>94</v>
      </c>
      <c r="D2" s="43" t="s">
        <v>95</v>
      </c>
      <c r="E2" s="43" t="s">
        <v>96</v>
      </c>
      <c r="F2" s="43" t="s">
        <v>97</v>
      </c>
      <c r="G2" s="43" t="s">
        <v>98</v>
      </c>
      <c r="H2" s="43" t="s">
        <v>99</v>
      </c>
      <c r="I2" s="43" t="s">
        <v>100</v>
      </c>
      <c r="J2" s="43" t="s">
        <v>101</v>
      </c>
      <c r="K2" s="43" t="s">
        <v>102</v>
      </c>
      <c r="L2" s="43" t="s">
        <v>103</v>
      </c>
    </row>
    <row r="3" spans="1:12" ht="63.45" customHeight="1">
      <c r="A3" s="59">
        <v>1</v>
      </c>
      <c r="B3" s="39" t="s">
        <v>104</v>
      </c>
      <c r="C3" s="59" t="s">
        <v>105</v>
      </c>
      <c r="D3" s="59" t="s">
        <v>106</v>
      </c>
      <c r="E3" s="59" t="s">
        <v>107</v>
      </c>
      <c r="F3" s="39" t="s">
        <v>108</v>
      </c>
      <c r="G3" s="60" t="s">
        <v>109</v>
      </c>
      <c r="H3" s="39" t="s">
        <v>108</v>
      </c>
      <c r="I3" s="60" t="s">
        <v>109</v>
      </c>
      <c r="J3" s="39" t="s">
        <v>110</v>
      </c>
      <c r="K3" s="39" t="s">
        <v>110</v>
      </c>
      <c r="L3" s="59"/>
    </row>
    <row r="4" spans="1:12" ht="15.6">
      <c r="A4" s="59"/>
      <c r="B4" s="40" t="s">
        <v>111</v>
      </c>
      <c r="C4" s="59"/>
      <c r="D4" s="59"/>
      <c r="E4" s="59"/>
      <c r="F4" s="40" t="s">
        <v>112</v>
      </c>
      <c r="G4" s="60"/>
      <c r="H4" s="40" t="s">
        <v>112</v>
      </c>
      <c r="I4" s="60"/>
      <c r="J4" s="40" t="s">
        <v>113</v>
      </c>
      <c r="K4" s="40" t="s">
        <v>113</v>
      </c>
      <c r="L4" s="59"/>
    </row>
    <row r="5" spans="1:12" ht="15.6">
      <c r="A5" s="59"/>
      <c r="B5" s="40" t="s">
        <v>114</v>
      </c>
      <c r="C5" s="59"/>
      <c r="D5" s="59"/>
      <c r="E5" s="59"/>
      <c r="F5" s="40" t="s">
        <v>115</v>
      </c>
      <c r="G5" s="60"/>
      <c r="H5" s="40" t="s">
        <v>115</v>
      </c>
      <c r="I5" s="60"/>
      <c r="J5" s="40" t="s">
        <v>116</v>
      </c>
      <c r="K5" s="40" t="s">
        <v>116</v>
      </c>
      <c r="L5" s="59"/>
    </row>
    <row r="6" spans="1:12" ht="15.6">
      <c r="A6" s="59"/>
      <c r="B6" s="40" t="s">
        <v>117</v>
      </c>
      <c r="C6" s="59"/>
      <c r="D6" s="59"/>
      <c r="E6" s="59"/>
      <c r="F6" s="42"/>
      <c r="G6" s="60"/>
      <c r="H6" s="42"/>
      <c r="I6" s="60"/>
      <c r="J6" s="40" t="s">
        <v>118</v>
      </c>
      <c r="K6" s="40" t="s">
        <v>118</v>
      </c>
      <c r="L6" s="59"/>
    </row>
    <row r="7" spans="1:12" ht="15.6">
      <c r="A7" s="59"/>
      <c r="B7" s="42"/>
      <c r="C7" s="59"/>
      <c r="D7" s="59"/>
      <c r="E7" s="59"/>
      <c r="F7" s="42"/>
      <c r="G7" s="60"/>
      <c r="H7" s="42"/>
      <c r="I7" s="60"/>
      <c r="J7" s="40" t="s">
        <v>119</v>
      </c>
      <c r="K7" s="40" t="s">
        <v>120</v>
      </c>
      <c r="L7" s="59"/>
    </row>
    <row r="8" spans="1:12" ht="31.2">
      <c r="A8" s="59"/>
      <c r="B8" s="42"/>
      <c r="C8" s="59"/>
      <c r="D8" s="59"/>
      <c r="E8" s="59"/>
      <c r="F8" s="42"/>
      <c r="G8" s="60"/>
      <c r="H8" s="42"/>
      <c r="I8" s="60"/>
      <c r="J8" s="40" t="s">
        <v>121</v>
      </c>
      <c r="K8" s="40" t="s">
        <v>122</v>
      </c>
      <c r="L8" s="59"/>
    </row>
    <row r="9" spans="1:12" ht="15.6">
      <c r="A9" s="59"/>
      <c r="B9" s="42"/>
      <c r="C9" s="59"/>
      <c r="D9" s="59"/>
      <c r="E9" s="59"/>
      <c r="F9" s="42"/>
      <c r="G9" s="60"/>
      <c r="H9" s="42"/>
      <c r="I9" s="60"/>
      <c r="J9" s="40" t="s">
        <v>123</v>
      </c>
      <c r="K9" s="40" t="s">
        <v>124</v>
      </c>
      <c r="L9" s="59"/>
    </row>
    <row r="10" spans="1:12" ht="31.2">
      <c r="A10" s="59"/>
      <c r="B10" s="42"/>
      <c r="C10" s="59"/>
      <c r="D10" s="59"/>
      <c r="E10" s="59"/>
      <c r="F10" s="42"/>
      <c r="G10" s="60"/>
      <c r="H10" s="42"/>
      <c r="I10" s="60"/>
      <c r="J10" s="40" t="s">
        <v>125</v>
      </c>
      <c r="K10" s="40" t="s">
        <v>126</v>
      </c>
      <c r="L10" s="59"/>
    </row>
    <row r="11" spans="1:12" ht="15.6">
      <c r="A11" s="59"/>
      <c r="B11" s="42"/>
      <c r="C11" s="59"/>
      <c r="D11" s="59"/>
      <c r="E11" s="59"/>
      <c r="F11" s="42"/>
      <c r="G11" s="60"/>
      <c r="H11" s="42"/>
      <c r="I11" s="60"/>
      <c r="J11" s="40" t="s">
        <v>127</v>
      </c>
      <c r="K11" s="42"/>
      <c r="L11" s="59"/>
    </row>
    <row r="12" spans="1:12" ht="48" customHeight="1">
      <c r="A12" s="59">
        <v>2</v>
      </c>
      <c r="B12" s="39" t="s">
        <v>128</v>
      </c>
      <c r="C12" s="59" t="s">
        <v>105</v>
      </c>
      <c r="D12" s="59" t="s">
        <v>129</v>
      </c>
      <c r="E12" s="59" t="s">
        <v>96</v>
      </c>
      <c r="F12" s="39" t="s">
        <v>130</v>
      </c>
      <c r="G12" s="59"/>
      <c r="H12" s="39" t="s">
        <v>130</v>
      </c>
      <c r="I12" s="59"/>
      <c r="J12" s="39" t="s">
        <v>131</v>
      </c>
      <c r="K12" s="39" t="s">
        <v>131</v>
      </c>
      <c r="L12" s="59"/>
    </row>
    <row r="13" spans="1:12" ht="15.6">
      <c r="A13" s="59"/>
      <c r="B13" s="40" t="s">
        <v>132</v>
      </c>
      <c r="C13" s="59"/>
      <c r="D13" s="59"/>
      <c r="E13" s="59"/>
      <c r="F13" s="40" t="s">
        <v>133</v>
      </c>
      <c r="G13" s="59"/>
      <c r="H13" s="40" t="s">
        <v>133</v>
      </c>
      <c r="I13" s="59"/>
      <c r="J13" s="40" t="s">
        <v>134</v>
      </c>
      <c r="K13" s="40" t="s">
        <v>134</v>
      </c>
      <c r="L13" s="59"/>
    </row>
    <row r="14" spans="1:12" ht="15.6">
      <c r="A14" s="59"/>
      <c r="B14" s="40" t="s">
        <v>135</v>
      </c>
      <c r="C14" s="59"/>
      <c r="D14" s="59"/>
      <c r="E14" s="59"/>
      <c r="F14" s="42"/>
      <c r="G14" s="59"/>
      <c r="H14" s="42"/>
      <c r="I14" s="59"/>
      <c r="J14" s="40" t="s">
        <v>136</v>
      </c>
      <c r="K14" s="40" t="s">
        <v>136</v>
      </c>
      <c r="L14" s="59"/>
    </row>
    <row r="15" spans="1:12" ht="15.6">
      <c r="A15" s="59"/>
      <c r="B15" s="42"/>
      <c r="C15" s="59"/>
      <c r="D15" s="59"/>
      <c r="E15" s="59"/>
      <c r="F15" s="42"/>
      <c r="G15" s="59"/>
      <c r="H15" s="42"/>
      <c r="I15" s="59"/>
      <c r="J15" s="40" t="s">
        <v>119</v>
      </c>
      <c r="K15" s="40" t="s">
        <v>120</v>
      </c>
      <c r="L15" s="59"/>
    </row>
    <row r="16" spans="1:12" ht="31.2">
      <c r="A16" s="59"/>
      <c r="B16" s="42"/>
      <c r="C16" s="59"/>
      <c r="D16" s="59"/>
      <c r="E16" s="59"/>
      <c r="F16" s="42"/>
      <c r="G16" s="59"/>
      <c r="H16" s="42"/>
      <c r="I16" s="59"/>
      <c r="J16" s="40" t="s">
        <v>121</v>
      </c>
      <c r="K16" s="40" t="s">
        <v>122</v>
      </c>
      <c r="L16" s="59"/>
    </row>
    <row r="17" spans="1:12" ht="15.6">
      <c r="A17" s="59"/>
      <c r="B17" s="42"/>
      <c r="C17" s="59"/>
      <c r="D17" s="59"/>
      <c r="E17" s="59"/>
      <c r="F17" s="42"/>
      <c r="G17" s="59"/>
      <c r="H17" s="42"/>
      <c r="I17" s="59"/>
      <c r="J17" s="40" t="s">
        <v>123</v>
      </c>
      <c r="K17" s="40" t="s">
        <v>124</v>
      </c>
      <c r="L17" s="59"/>
    </row>
    <row r="18" spans="1:12" ht="31.2">
      <c r="A18" s="59"/>
      <c r="B18" s="42"/>
      <c r="C18" s="59"/>
      <c r="D18" s="59"/>
      <c r="E18" s="59"/>
      <c r="F18" s="42"/>
      <c r="G18" s="59"/>
      <c r="H18" s="42"/>
      <c r="I18" s="59"/>
      <c r="J18" s="40" t="s">
        <v>125</v>
      </c>
      <c r="K18" s="40" t="s">
        <v>126</v>
      </c>
      <c r="L18" s="59"/>
    </row>
    <row r="19" spans="1:12" ht="15.6">
      <c r="A19" s="59"/>
      <c r="B19" s="42"/>
      <c r="C19" s="59"/>
      <c r="D19" s="59"/>
      <c r="E19" s="59"/>
      <c r="F19" s="42"/>
      <c r="G19" s="59"/>
      <c r="H19" s="42"/>
      <c r="I19" s="59"/>
      <c r="J19" s="40" t="s">
        <v>127</v>
      </c>
      <c r="K19" s="42"/>
      <c r="L19" s="59"/>
    </row>
    <row r="20" spans="1:12" ht="16.95" customHeight="1">
      <c r="A20" s="59">
        <v>3</v>
      </c>
      <c r="B20" s="39" t="s">
        <v>137</v>
      </c>
      <c r="C20" s="59" t="s">
        <v>105</v>
      </c>
      <c r="D20" s="59" t="s">
        <v>138</v>
      </c>
      <c r="E20" s="59" t="s">
        <v>139</v>
      </c>
      <c r="F20" s="39" t="s">
        <v>140</v>
      </c>
      <c r="G20" s="59"/>
      <c r="H20" s="39" t="s">
        <v>140</v>
      </c>
      <c r="I20" s="59"/>
      <c r="J20" s="39" t="s">
        <v>141</v>
      </c>
      <c r="K20" s="39" t="s">
        <v>141</v>
      </c>
      <c r="L20" s="59"/>
    </row>
    <row r="21" spans="1:12" ht="15.6">
      <c r="A21" s="59"/>
      <c r="B21" s="40" t="s">
        <v>142</v>
      </c>
      <c r="C21" s="59"/>
      <c r="D21" s="59"/>
      <c r="E21" s="59"/>
      <c r="F21" s="40" t="s">
        <v>143</v>
      </c>
      <c r="G21" s="59"/>
      <c r="H21" s="40" t="s">
        <v>143</v>
      </c>
      <c r="I21" s="59"/>
      <c r="J21" s="40" t="s">
        <v>144</v>
      </c>
      <c r="K21" s="40" t="s">
        <v>144</v>
      </c>
      <c r="L21" s="59"/>
    </row>
    <row r="22" spans="1:12" ht="15.6">
      <c r="A22" s="59"/>
      <c r="B22" s="40" t="s">
        <v>145</v>
      </c>
      <c r="C22" s="59"/>
      <c r="D22" s="59"/>
      <c r="E22" s="59"/>
      <c r="F22" s="40" t="s">
        <v>146</v>
      </c>
      <c r="G22" s="59"/>
      <c r="H22" s="40" t="s">
        <v>146</v>
      </c>
      <c r="I22" s="59"/>
      <c r="J22" s="40" t="s">
        <v>147</v>
      </c>
      <c r="K22" s="40" t="s">
        <v>147</v>
      </c>
      <c r="L22" s="59"/>
    </row>
    <row r="23" spans="1:12" ht="15.6">
      <c r="A23" s="59"/>
      <c r="B23" s="42"/>
      <c r="C23" s="59"/>
      <c r="D23" s="59"/>
      <c r="E23" s="59"/>
      <c r="F23" s="42"/>
      <c r="G23" s="59"/>
      <c r="H23" s="42"/>
      <c r="I23" s="59"/>
      <c r="J23" s="40" t="s">
        <v>119</v>
      </c>
      <c r="K23" s="40" t="s">
        <v>120</v>
      </c>
      <c r="L23" s="59"/>
    </row>
    <row r="24" spans="1:12" ht="31.2">
      <c r="A24" s="59"/>
      <c r="B24" s="42"/>
      <c r="C24" s="59"/>
      <c r="D24" s="59"/>
      <c r="E24" s="59"/>
      <c r="F24" s="42"/>
      <c r="G24" s="59"/>
      <c r="H24" s="42"/>
      <c r="I24" s="59"/>
      <c r="J24" s="40" t="s">
        <v>121</v>
      </c>
      <c r="K24" s="40" t="s">
        <v>122</v>
      </c>
      <c r="L24" s="59"/>
    </row>
    <row r="25" spans="1:12" ht="15.6">
      <c r="A25" s="59"/>
      <c r="B25" s="42"/>
      <c r="C25" s="59"/>
      <c r="D25" s="59"/>
      <c r="E25" s="59"/>
      <c r="F25" s="42"/>
      <c r="G25" s="59"/>
      <c r="H25" s="42"/>
      <c r="I25" s="59"/>
      <c r="J25" s="40" t="s">
        <v>123</v>
      </c>
      <c r="K25" s="40" t="s">
        <v>124</v>
      </c>
      <c r="L25" s="59"/>
    </row>
    <row r="26" spans="1:12" ht="31.2">
      <c r="A26" s="59"/>
      <c r="B26" s="42"/>
      <c r="C26" s="59"/>
      <c r="D26" s="59"/>
      <c r="E26" s="59"/>
      <c r="F26" s="42"/>
      <c r="G26" s="59"/>
      <c r="H26" s="42"/>
      <c r="I26" s="59"/>
      <c r="J26" s="40" t="s">
        <v>125</v>
      </c>
      <c r="K26" s="40" t="s">
        <v>126</v>
      </c>
      <c r="L26" s="59"/>
    </row>
    <row r="27" spans="1:12" ht="15.6">
      <c r="A27" s="59"/>
      <c r="B27" s="42"/>
      <c r="C27" s="59"/>
      <c r="D27" s="59"/>
      <c r="E27" s="59"/>
      <c r="F27" s="42"/>
      <c r="G27" s="59"/>
      <c r="H27" s="42"/>
      <c r="I27" s="59"/>
      <c r="J27" s="40" t="s">
        <v>127</v>
      </c>
      <c r="K27" s="42"/>
      <c r="L27" s="59"/>
    </row>
    <row r="28" spans="1:12" ht="16.95" customHeight="1">
      <c r="A28" s="59">
        <v>4</v>
      </c>
      <c r="B28" s="39" t="s">
        <v>148</v>
      </c>
      <c r="C28" s="59" t="s">
        <v>105</v>
      </c>
      <c r="D28" s="59" t="s">
        <v>149</v>
      </c>
      <c r="E28" s="59" t="s">
        <v>139</v>
      </c>
      <c r="F28" s="39" t="s">
        <v>150</v>
      </c>
      <c r="G28" s="59"/>
      <c r="H28" s="39" t="s">
        <v>150</v>
      </c>
      <c r="I28" s="59"/>
      <c r="J28" s="39" t="s">
        <v>151</v>
      </c>
      <c r="K28" s="39" t="s">
        <v>151</v>
      </c>
      <c r="L28" s="59"/>
    </row>
    <row r="29" spans="1:12" ht="15.6">
      <c r="A29" s="59"/>
      <c r="B29" s="40" t="s">
        <v>152</v>
      </c>
      <c r="C29" s="59"/>
      <c r="D29" s="59"/>
      <c r="E29" s="59"/>
      <c r="F29" s="40" t="s">
        <v>153</v>
      </c>
      <c r="G29" s="59"/>
      <c r="H29" s="40" t="s">
        <v>153</v>
      </c>
      <c r="I29" s="59"/>
      <c r="J29" s="40" t="s">
        <v>154</v>
      </c>
      <c r="K29" s="40" t="s">
        <v>154</v>
      </c>
      <c r="L29" s="59"/>
    </row>
    <row r="30" spans="1:12" ht="31.2">
      <c r="A30" s="59"/>
      <c r="B30" s="40" t="s">
        <v>155</v>
      </c>
      <c r="C30" s="59"/>
      <c r="D30" s="59"/>
      <c r="E30" s="59"/>
      <c r="F30" s="40" t="s">
        <v>156</v>
      </c>
      <c r="G30" s="59"/>
      <c r="H30" s="40" t="s">
        <v>156</v>
      </c>
      <c r="I30" s="59"/>
      <c r="J30" s="40" t="s">
        <v>157</v>
      </c>
      <c r="K30" s="40" t="s">
        <v>157</v>
      </c>
      <c r="L30" s="59"/>
    </row>
    <row r="31" spans="1:12" ht="15.6">
      <c r="A31" s="59"/>
      <c r="B31" s="42"/>
      <c r="C31" s="59"/>
      <c r="D31" s="59"/>
      <c r="E31" s="59"/>
      <c r="F31" s="42"/>
      <c r="G31" s="59"/>
      <c r="H31" s="42"/>
      <c r="I31" s="59"/>
      <c r="J31" s="40" t="s">
        <v>158</v>
      </c>
      <c r="K31" s="40" t="s">
        <v>158</v>
      </c>
      <c r="L31" s="59"/>
    </row>
    <row r="32" spans="1:12" ht="15.6">
      <c r="A32" s="59"/>
      <c r="B32" s="42"/>
      <c r="C32" s="59"/>
      <c r="D32" s="59"/>
      <c r="E32" s="59"/>
      <c r="F32" s="42"/>
      <c r="G32" s="59"/>
      <c r="H32" s="42"/>
      <c r="I32" s="59"/>
      <c r="J32" s="40" t="s">
        <v>119</v>
      </c>
      <c r="K32" s="40" t="s">
        <v>120</v>
      </c>
      <c r="L32" s="59"/>
    </row>
    <row r="33" spans="1:12" ht="31.2">
      <c r="A33" s="59"/>
      <c r="B33" s="42"/>
      <c r="C33" s="59"/>
      <c r="D33" s="59"/>
      <c r="E33" s="59"/>
      <c r="F33" s="42"/>
      <c r="G33" s="59"/>
      <c r="H33" s="42"/>
      <c r="I33" s="59"/>
      <c r="J33" s="40" t="s">
        <v>121</v>
      </c>
      <c r="K33" s="40" t="s">
        <v>122</v>
      </c>
      <c r="L33" s="59"/>
    </row>
    <row r="34" spans="1:12" ht="15.6">
      <c r="A34" s="59"/>
      <c r="B34" s="42"/>
      <c r="C34" s="59"/>
      <c r="D34" s="59"/>
      <c r="E34" s="59"/>
      <c r="F34" s="42"/>
      <c r="G34" s="59"/>
      <c r="H34" s="42"/>
      <c r="I34" s="59"/>
      <c r="J34" s="40" t="s">
        <v>123</v>
      </c>
      <c r="K34" s="40" t="s">
        <v>159</v>
      </c>
      <c r="L34" s="59"/>
    </row>
    <row r="35" spans="1:12" ht="15.6">
      <c r="A35" s="59"/>
      <c r="B35" s="42"/>
      <c r="C35" s="59"/>
      <c r="D35" s="59"/>
      <c r="E35" s="59"/>
      <c r="F35" s="42"/>
      <c r="G35" s="59"/>
      <c r="H35" s="42"/>
      <c r="I35" s="59"/>
      <c r="J35" s="40" t="s">
        <v>160</v>
      </c>
      <c r="K35" s="40" t="s">
        <v>124</v>
      </c>
      <c r="L35" s="59"/>
    </row>
    <row r="36" spans="1:12" ht="31.2">
      <c r="A36" s="59"/>
      <c r="B36" s="42"/>
      <c r="C36" s="59"/>
      <c r="D36" s="59"/>
      <c r="E36" s="59"/>
      <c r="F36" s="42"/>
      <c r="G36" s="59"/>
      <c r="H36" s="42"/>
      <c r="I36" s="59"/>
      <c r="J36" s="40" t="s">
        <v>125</v>
      </c>
      <c r="K36" s="40" t="s">
        <v>126</v>
      </c>
      <c r="L36" s="59"/>
    </row>
    <row r="37" spans="1:12" ht="15.6">
      <c r="A37" s="59"/>
      <c r="B37" s="42"/>
      <c r="C37" s="59"/>
      <c r="D37" s="59"/>
      <c r="E37" s="59"/>
      <c r="F37" s="42"/>
      <c r="G37" s="59"/>
      <c r="H37" s="42"/>
      <c r="I37" s="59"/>
      <c r="J37" s="40" t="s">
        <v>127</v>
      </c>
      <c r="K37" s="42"/>
      <c r="L37" s="59"/>
    </row>
    <row r="38" spans="1:12" ht="16.95" customHeight="1">
      <c r="A38" s="59">
        <v>5</v>
      </c>
      <c r="B38" s="39" t="s">
        <v>161</v>
      </c>
      <c r="C38" s="59" t="s">
        <v>105</v>
      </c>
      <c r="D38" s="59" t="s">
        <v>162</v>
      </c>
      <c r="E38" s="59" t="s">
        <v>139</v>
      </c>
      <c r="F38" s="39" t="s">
        <v>163</v>
      </c>
      <c r="G38" s="59"/>
      <c r="H38" s="39" t="s">
        <v>163</v>
      </c>
      <c r="I38" s="59"/>
      <c r="J38" s="39" t="s">
        <v>164</v>
      </c>
      <c r="K38" s="39" t="s">
        <v>164</v>
      </c>
      <c r="L38" s="59"/>
    </row>
    <row r="39" spans="1:12" ht="15.6">
      <c r="A39" s="59"/>
      <c r="B39" s="40" t="s">
        <v>165</v>
      </c>
      <c r="C39" s="59"/>
      <c r="D39" s="59"/>
      <c r="E39" s="59"/>
      <c r="F39" s="40" t="s">
        <v>166</v>
      </c>
      <c r="G39" s="59"/>
      <c r="H39" s="40" t="s">
        <v>166</v>
      </c>
      <c r="I39" s="59"/>
      <c r="J39" s="40" t="s">
        <v>167</v>
      </c>
      <c r="K39" s="40" t="s">
        <v>167</v>
      </c>
      <c r="L39" s="59"/>
    </row>
    <row r="40" spans="1:12" ht="15.6">
      <c r="A40" s="59"/>
      <c r="B40" s="42"/>
      <c r="C40" s="59"/>
      <c r="D40" s="59"/>
      <c r="E40" s="59"/>
      <c r="F40" s="40" t="s">
        <v>168</v>
      </c>
      <c r="G40" s="59"/>
      <c r="H40" s="40" t="s">
        <v>168</v>
      </c>
      <c r="I40" s="59"/>
      <c r="J40" s="40" t="s">
        <v>169</v>
      </c>
      <c r="K40" s="40" t="s">
        <v>169</v>
      </c>
      <c r="L40" s="59"/>
    </row>
    <row r="41" spans="1:12" ht="15.6">
      <c r="A41" s="59"/>
      <c r="B41" s="42"/>
      <c r="C41" s="59"/>
      <c r="D41" s="59"/>
      <c r="E41" s="59"/>
      <c r="F41" s="42"/>
      <c r="G41" s="59"/>
      <c r="H41" s="42"/>
      <c r="I41" s="59"/>
      <c r="J41" s="40" t="s">
        <v>119</v>
      </c>
      <c r="K41" s="40" t="s">
        <v>120</v>
      </c>
      <c r="L41" s="59"/>
    </row>
    <row r="42" spans="1:12" ht="31.2">
      <c r="A42" s="59"/>
      <c r="B42" s="42"/>
      <c r="C42" s="59"/>
      <c r="D42" s="59"/>
      <c r="E42" s="59"/>
      <c r="F42" s="42"/>
      <c r="G42" s="59"/>
      <c r="H42" s="42"/>
      <c r="I42" s="59"/>
      <c r="J42" s="40" t="s">
        <v>121</v>
      </c>
      <c r="K42" s="40" t="s">
        <v>122</v>
      </c>
      <c r="L42" s="59"/>
    </row>
    <row r="43" spans="1:12" ht="15.6">
      <c r="A43" s="59"/>
      <c r="B43" s="42"/>
      <c r="C43" s="59"/>
      <c r="D43" s="59"/>
      <c r="E43" s="59"/>
      <c r="F43" s="42"/>
      <c r="G43" s="59"/>
      <c r="H43" s="42"/>
      <c r="I43" s="59"/>
      <c r="J43" s="40" t="s">
        <v>123</v>
      </c>
      <c r="K43" s="40" t="s">
        <v>124</v>
      </c>
      <c r="L43" s="59"/>
    </row>
    <row r="44" spans="1:12" ht="31.2">
      <c r="A44" s="59"/>
      <c r="B44" s="42"/>
      <c r="C44" s="59"/>
      <c r="D44" s="59"/>
      <c r="E44" s="59"/>
      <c r="F44" s="42"/>
      <c r="G44" s="59"/>
      <c r="H44" s="42"/>
      <c r="I44" s="59"/>
      <c r="J44" s="40" t="s">
        <v>125</v>
      </c>
      <c r="K44" s="40" t="s">
        <v>126</v>
      </c>
      <c r="L44" s="59"/>
    </row>
    <row r="45" spans="1:12" ht="15.6">
      <c r="A45" s="59"/>
      <c r="B45" s="42"/>
      <c r="C45" s="59"/>
      <c r="D45" s="59"/>
      <c r="E45" s="59"/>
      <c r="F45" s="42"/>
      <c r="G45" s="59"/>
      <c r="H45" s="42"/>
      <c r="I45" s="59"/>
      <c r="J45" s="40" t="s">
        <v>127</v>
      </c>
      <c r="K45" s="42"/>
      <c r="L45" s="59"/>
    </row>
    <row r="46" spans="1:12" ht="16.95" customHeight="1">
      <c r="A46" s="59">
        <v>6</v>
      </c>
      <c r="B46" s="39" t="s">
        <v>170</v>
      </c>
      <c r="C46" s="59" t="s">
        <v>105</v>
      </c>
      <c r="D46" s="59" t="s">
        <v>171</v>
      </c>
      <c r="E46" s="59" t="s">
        <v>139</v>
      </c>
      <c r="F46" s="39" t="s">
        <v>172</v>
      </c>
      <c r="G46" s="59"/>
      <c r="H46" s="39" t="s">
        <v>172</v>
      </c>
      <c r="I46" s="59"/>
      <c r="J46" s="39" t="s">
        <v>173</v>
      </c>
      <c r="K46" s="39" t="s">
        <v>173</v>
      </c>
      <c r="L46" s="59"/>
    </row>
    <row r="47" spans="1:12" ht="15.6">
      <c r="A47" s="59"/>
      <c r="B47" s="40" t="s">
        <v>174</v>
      </c>
      <c r="C47" s="59"/>
      <c r="D47" s="59"/>
      <c r="E47" s="59"/>
      <c r="F47" s="40" t="s">
        <v>175</v>
      </c>
      <c r="G47" s="59"/>
      <c r="H47" s="40" t="s">
        <v>175</v>
      </c>
      <c r="I47" s="59"/>
      <c r="J47" s="40" t="s">
        <v>176</v>
      </c>
      <c r="K47" s="40" t="s">
        <v>176</v>
      </c>
      <c r="L47" s="59"/>
    </row>
    <row r="48" spans="1:12" ht="15.6">
      <c r="A48" s="59"/>
      <c r="B48" s="40" t="s">
        <v>177</v>
      </c>
      <c r="C48" s="59"/>
      <c r="D48" s="59"/>
      <c r="E48" s="59"/>
      <c r="F48" s="40" t="s">
        <v>178</v>
      </c>
      <c r="G48" s="59"/>
      <c r="H48" s="40" t="s">
        <v>178</v>
      </c>
      <c r="I48" s="59"/>
      <c r="J48" s="40" t="s">
        <v>179</v>
      </c>
      <c r="K48" s="40" t="s">
        <v>179</v>
      </c>
      <c r="L48" s="59"/>
    </row>
    <row r="49" spans="1:12" ht="15.6">
      <c r="A49" s="59"/>
      <c r="B49" s="42"/>
      <c r="C49" s="59"/>
      <c r="D49" s="59"/>
      <c r="E49" s="59"/>
      <c r="F49" s="42"/>
      <c r="G49" s="59"/>
      <c r="H49" s="42"/>
      <c r="I49" s="59"/>
      <c r="J49" s="40" t="s">
        <v>180</v>
      </c>
      <c r="K49" s="40" t="s">
        <v>180</v>
      </c>
      <c r="L49" s="59"/>
    </row>
    <row r="50" spans="1:12" ht="15.6">
      <c r="A50" s="59"/>
      <c r="B50" s="42"/>
      <c r="C50" s="59"/>
      <c r="D50" s="59"/>
      <c r="E50" s="59"/>
      <c r="F50" s="42"/>
      <c r="G50" s="59"/>
      <c r="H50" s="42"/>
      <c r="I50" s="59"/>
      <c r="J50" s="40" t="s">
        <v>119</v>
      </c>
      <c r="K50" s="40" t="s">
        <v>120</v>
      </c>
      <c r="L50" s="59"/>
    </row>
    <row r="51" spans="1:12" ht="31.2">
      <c r="A51" s="59"/>
      <c r="B51" s="42"/>
      <c r="C51" s="59"/>
      <c r="D51" s="59"/>
      <c r="E51" s="59"/>
      <c r="F51" s="42"/>
      <c r="G51" s="59"/>
      <c r="H51" s="42"/>
      <c r="I51" s="59"/>
      <c r="J51" s="40" t="s">
        <v>121</v>
      </c>
      <c r="K51" s="40" t="s">
        <v>122</v>
      </c>
      <c r="L51" s="59"/>
    </row>
    <row r="52" spans="1:12" ht="15.6">
      <c r="A52" s="59"/>
      <c r="B52" s="42"/>
      <c r="C52" s="59"/>
      <c r="D52" s="59"/>
      <c r="E52" s="59"/>
      <c r="F52" s="42"/>
      <c r="G52" s="59"/>
      <c r="H52" s="42"/>
      <c r="I52" s="59"/>
      <c r="J52" s="40" t="s">
        <v>123</v>
      </c>
      <c r="K52" s="40" t="s">
        <v>124</v>
      </c>
      <c r="L52" s="59"/>
    </row>
    <row r="53" spans="1:12" ht="31.2">
      <c r="A53" s="59"/>
      <c r="B53" s="42"/>
      <c r="C53" s="59"/>
      <c r="D53" s="59"/>
      <c r="E53" s="59"/>
      <c r="F53" s="42"/>
      <c r="G53" s="59"/>
      <c r="H53" s="42"/>
      <c r="I53" s="59"/>
      <c r="J53" s="40" t="s">
        <v>125</v>
      </c>
      <c r="K53" s="40" t="s">
        <v>126</v>
      </c>
      <c r="L53" s="59"/>
    </row>
    <row r="54" spans="1:12" ht="15.6">
      <c r="A54" s="59"/>
      <c r="B54" s="42"/>
      <c r="C54" s="59"/>
      <c r="D54" s="59"/>
      <c r="E54" s="59"/>
      <c r="F54" s="42"/>
      <c r="G54" s="59"/>
      <c r="H54" s="42"/>
      <c r="I54" s="59"/>
      <c r="J54" s="40" t="s">
        <v>127</v>
      </c>
      <c r="K54" s="42"/>
      <c r="L54" s="59"/>
    </row>
    <row r="55" spans="1:12" ht="16.95" customHeight="1">
      <c r="A55" s="59">
        <v>7</v>
      </c>
      <c r="B55" s="39" t="s">
        <v>181</v>
      </c>
      <c r="C55" s="59" t="s">
        <v>105</v>
      </c>
      <c r="D55" s="59" t="s">
        <v>182</v>
      </c>
      <c r="E55" s="59" t="s">
        <v>139</v>
      </c>
      <c r="F55" s="39" t="s">
        <v>183</v>
      </c>
      <c r="G55" s="59"/>
      <c r="H55" s="39" t="s">
        <v>183</v>
      </c>
      <c r="I55" s="59"/>
      <c r="J55" s="39" t="s">
        <v>184</v>
      </c>
      <c r="K55" s="39" t="s">
        <v>185</v>
      </c>
      <c r="L55" s="59"/>
    </row>
    <row r="56" spans="1:12" ht="15.6">
      <c r="A56" s="59"/>
      <c r="B56" s="40" t="s">
        <v>186</v>
      </c>
      <c r="C56" s="59"/>
      <c r="D56" s="59"/>
      <c r="E56" s="59"/>
      <c r="F56" s="40" t="s">
        <v>187</v>
      </c>
      <c r="G56" s="59"/>
      <c r="H56" s="40" t="s">
        <v>187</v>
      </c>
      <c r="I56" s="59"/>
      <c r="J56" s="40" t="s">
        <v>188</v>
      </c>
      <c r="K56" s="40" t="s">
        <v>189</v>
      </c>
      <c r="L56" s="59"/>
    </row>
    <row r="57" spans="1:12" ht="15.6">
      <c r="A57" s="59"/>
      <c r="B57" s="40" t="s">
        <v>190</v>
      </c>
      <c r="C57" s="59"/>
      <c r="D57" s="59"/>
      <c r="E57" s="59"/>
      <c r="F57" s="40" t="s">
        <v>191</v>
      </c>
      <c r="G57" s="59"/>
      <c r="H57" s="40" t="s">
        <v>191</v>
      </c>
      <c r="I57" s="59"/>
      <c r="J57" s="40" t="s">
        <v>192</v>
      </c>
      <c r="K57" s="40" t="s">
        <v>193</v>
      </c>
      <c r="L57" s="59"/>
    </row>
    <row r="58" spans="1:12" ht="15.6">
      <c r="A58" s="59"/>
      <c r="B58" s="42"/>
      <c r="C58" s="59"/>
      <c r="D58" s="59"/>
      <c r="E58" s="59"/>
      <c r="F58" s="42"/>
      <c r="G58" s="59"/>
      <c r="H58" s="42"/>
      <c r="I58" s="59"/>
      <c r="J58" s="40" t="s">
        <v>119</v>
      </c>
      <c r="K58" s="40" t="s">
        <v>120</v>
      </c>
      <c r="L58" s="59"/>
    </row>
    <row r="59" spans="1:12" ht="31.2">
      <c r="A59" s="59"/>
      <c r="B59" s="42"/>
      <c r="C59" s="59"/>
      <c r="D59" s="59"/>
      <c r="E59" s="59"/>
      <c r="F59" s="42"/>
      <c r="G59" s="59"/>
      <c r="H59" s="42"/>
      <c r="I59" s="59"/>
      <c r="J59" s="40" t="s">
        <v>194</v>
      </c>
      <c r="K59" s="40" t="s">
        <v>122</v>
      </c>
      <c r="L59" s="59"/>
    </row>
    <row r="60" spans="1:12" ht="15.6">
      <c r="A60" s="59"/>
      <c r="B60" s="42"/>
      <c r="C60" s="59"/>
      <c r="D60" s="59"/>
      <c r="E60" s="59"/>
      <c r="F60" s="42"/>
      <c r="G60" s="59"/>
      <c r="H60" s="42"/>
      <c r="I60" s="59"/>
      <c r="J60" s="40" t="s">
        <v>195</v>
      </c>
      <c r="K60" s="40" t="s">
        <v>124</v>
      </c>
      <c r="L60" s="59"/>
    </row>
    <row r="61" spans="1:12" ht="31.2">
      <c r="A61" s="59"/>
      <c r="B61" s="42"/>
      <c r="C61" s="59"/>
      <c r="D61" s="59"/>
      <c r="E61" s="59"/>
      <c r="F61" s="42"/>
      <c r="G61" s="59"/>
      <c r="H61" s="42"/>
      <c r="I61" s="59"/>
      <c r="J61" s="40" t="s">
        <v>196</v>
      </c>
      <c r="K61" s="40" t="s">
        <v>126</v>
      </c>
      <c r="L61" s="59"/>
    </row>
    <row r="62" spans="1:12" ht="16.95" customHeight="1">
      <c r="A62" s="59">
        <v>8</v>
      </c>
      <c r="B62" s="39" t="s">
        <v>197</v>
      </c>
      <c r="C62" s="59" t="s">
        <v>105</v>
      </c>
      <c r="D62" s="59" t="s">
        <v>198</v>
      </c>
      <c r="E62" s="59" t="s">
        <v>139</v>
      </c>
      <c r="F62" s="39" t="s">
        <v>199</v>
      </c>
      <c r="G62" s="59"/>
      <c r="H62" s="39" t="s">
        <v>199</v>
      </c>
      <c r="I62" s="59"/>
      <c r="J62" s="39" t="s">
        <v>200</v>
      </c>
      <c r="K62" s="39" t="s">
        <v>200</v>
      </c>
      <c r="L62" s="59"/>
    </row>
    <row r="63" spans="1:12" ht="15.6">
      <c r="A63" s="59"/>
      <c r="B63" s="40" t="s">
        <v>201</v>
      </c>
      <c r="C63" s="59"/>
      <c r="D63" s="59"/>
      <c r="E63" s="59"/>
      <c r="F63" s="40" t="s">
        <v>202</v>
      </c>
      <c r="G63" s="59"/>
      <c r="H63" s="40" t="s">
        <v>202</v>
      </c>
      <c r="I63" s="59"/>
      <c r="J63" s="40" t="s">
        <v>203</v>
      </c>
      <c r="K63" s="40" t="s">
        <v>203</v>
      </c>
      <c r="L63" s="59"/>
    </row>
    <row r="64" spans="1:12" ht="31.2">
      <c r="A64" s="59"/>
      <c r="B64" s="40" t="s">
        <v>204</v>
      </c>
      <c r="C64" s="59"/>
      <c r="D64" s="59"/>
      <c r="E64" s="59"/>
      <c r="F64" s="40" t="s">
        <v>205</v>
      </c>
      <c r="G64" s="59"/>
      <c r="H64" s="40" t="s">
        <v>205</v>
      </c>
      <c r="I64" s="59"/>
      <c r="J64" s="40" t="s">
        <v>206</v>
      </c>
      <c r="K64" s="40" t="s">
        <v>206</v>
      </c>
      <c r="L64" s="59"/>
    </row>
    <row r="65" spans="1:12" ht="15.6">
      <c r="A65" s="59"/>
      <c r="B65" s="40" t="s">
        <v>207</v>
      </c>
      <c r="C65" s="59"/>
      <c r="D65" s="59"/>
      <c r="E65" s="59"/>
      <c r="F65" s="42"/>
      <c r="G65" s="59"/>
      <c r="H65" s="42"/>
      <c r="I65" s="59"/>
      <c r="J65" s="40" t="s">
        <v>208</v>
      </c>
      <c r="K65" s="40" t="s">
        <v>208</v>
      </c>
      <c r="L65" s="59"/>
    </row>
    <row r="66" spans="1:12" ht="15.6">
      <c r="A66" s="59"/>
      <c r="B66" s="40" t="s">
        <v>209</v>
      </c>
      <c r="C66" s="59"/>
      <c r="D66" s="59"/>
      <c r="E66" s="59"/>
      <c r="F66" s="42"/>
      <c r="G66" s="59"/>
      <c r="H66" s="42"/>
      <c r="I66" s="59"/>
      <c r="J66" s="40" t="s">
        <v>119</v>
      </c>
      <c r="K66" s="40" t="s">
        <v>120</v>
      </c>
      <c r="L66" s="59"/>
    </row>
    <row r="67" spans="1:12" ht="31.2">
      <c r="A67" s="59"/>
      <c r="B67" s="42"/>
      <c r="C67" s="59"/>
      <c r="D67" s="59"/>
      <c r="E67" s="59"/>
      <c r="F67" s="42"/>
      <c r="G67" s="59"/>
      <c r="H67" s="42"/>
      <c r="I67" s="59"/>
      <c r="J67" s="40" t="s">
        <v>121</v>
      </c>
      <c r="K67" s="40" t="s">
        <v>122</v>
      </c>
      <c r="L67" s="59"/>
    </row>
    <row r="68" spans="1:12" ht="15.6">
      <c r="A68" s="59"/>
      <c r="B68" s="42"/>
      <c r="C68" s="59"/>
      <c r="D68" s="59"/>
      <c r="E68" s="59"/>
      <c r="F68" s="42"/>
      <c r="G68" s="59"/>
      <c r="H68" s="42"/>
      <c r="I68" s="59"/>
      <c r="J68" s="40" t="s">
        <v>123</v>
      </c>
      <c r="K68" s="40" t="s">
        <v>159</v>
      </c>
      <c r="L68" s="59"/>
    </row>
    <row r="69" spans="1:12" ht="15.6">
      <c r="A69" s="59"/>
      <c r="B69" s="42"/>
      <c r="C69" s="59"/>
      <c r="D69" s="59"/>
      <c r="E69" s="59"/>
      <c r="F69" s="42"/>
      <c r="G69" s="59"/>
      <c r="H69" s="42"/>
      <c r="I69" s="59"/>
      <c r="J69" s="40" t="s">
        <v>160</v>
      </c>
      <c r="K69" s="40" t="s">
        <v>124</v>
      </c>
      <c r="L69" s="59"/>
    </row>
    <row r="70" spans="1:12" ht="31.2">
      <c r="A70" s="59"/>
      <c r="B70" s="42"/>
      <c r="C70" s="59"/>
      <c r="D70" s="59"/>
      <c r="E70" s="59"/>
      <c r="F70" s="42"/>
      <c r="G70" s="59"/>
      <c r="H70" s="42"/>
      <c r="I70" s="59"/>
      <c r="J70" s="40" t="s">
        <v>125</v>
      </c>
      <c r="K70" s="40" t="s">
        <v>126</v>
      </c>
      <c r="L70" s="59"/>
    </row>
    <row r="71" spans="1:12" ht="15.6">
      <c r="A71" s="59"/>
      <c r="B71" s="42"/>
      <c r="C71" s="59"/>
      <c r="D71" s="59"/>
      <c r="E71" s="59"/>
      <c r="F71" s="42"/>
      <c r="G71" s="59"/>
      <c r="H71" s="42"/>
      <c r="I71" s="59"/>
      <c r="J71" s="40" t="s">
        <v>127</v>
      </c>
      <c r="K71" s="42"/>
      <c r="L71" s="59"/>
    </row>
    <row r="72" spans="1:12" ht="32.549999999999997" customHeight="1">
      <c r="A72" s="59">
        <v>9</v>
      </c>
      <c r="B72" s="59" t="s">
        <v>210</v>
      </c>
      <c r="C72" s="59" t="s">
        <v>105</v>
      </c>
      <c r="D72" s="59" t="s">
        <v>211</v>
      </c>
      <c r="E72" s="59" t="s">
        <v>139</v>
      </c>
      <c r="F72" s="59" t="s">
        <v>212</v>
      </c>
      <c r="G72" s="59"/>
      <c r="H72" s="59" t="s">
        <v>212</v>
      </c>
      <c r="I72" s="59"/>
      <c r="J72" s="39" t="s">
        <v>213</v>
      </c>
      <c r="K72" s="39" t="s">
        <v>214</v>
      </c>
      <c r="L72" s="59"/>
    </row>
    <row r="73" spans="1:12" ht="31.2">
      <c r="A73" s="59"/>
      <c r="B73" s="59"/>
      <c r="C73" s="59"/>
      <c r="D73" s="59"/>
      <c r="E73" s="59"/>
      <c r="F73" s="59"/>
      <c r="G73" s="59"/>
      <c r="H73" s="59"/>
      <c r="I73" s="59"/>
      <c r="J73" s="40" t="s">
        <v>119</v>
      </c>
      <c r="K73" s="40" t="s">
        <v>215</v>
      </c>
      <c r="L73" s="59"/>
    </row>
    <row r="74" spans="1:12" ht="15.6">
      <c r="A74" s="59"/>
      <c r="B74" s="59"/>
      <c r="C74" s="59"/>
      <c r="D74" s="59"/>
      <c r="E74" s="59"/>
      <c r="F74" s="59"/>
      <c r="G74" s="59"/>
      <c r="H74" s="59"/>
      <c r="I74" s="59"/>
      <c r="J74" s="40" t="s">
        <v>216</v>
      </c>
      <c r="K74" s="42"/>
      <c r="L74" s="59"/>
    </row>
    <row r="75" spans="1:12" ht="15.6">
      <c r="A75" s="59"/>
      <c r="B75" s="59"/>
      <c r="C75" s="59"/>
      <c r="D75" s="59"/>
      <c r="E75" s="59"/>
      <c r="F75" s="59"/>
      <c r="G75" s="59"/>
      <c r="H75" s="59"/>
      <c r="I75" s="59"/>
      <c r="J75" s="40" t="s">
        <v>194</v>
      </c>
      <c r="K75" s="42"/>
      <c r="L75" s="59"/>
    </row>
    <row r="76" spans="1:12" ht="16.95" customHeight="1">
      <c r="A76" s="59">
        <v>10</v>
      </c>
      <c r="B76" s="39" t="s">
        <v>217</v>
      </c>
      <c r="C76" s="59" t="s">
        <v>105</v>
      </c>
      <c r="D76" s="59" t="s">
        <v>218</v>
      </c>
      <c r="E76" s="59" t="s">
        <v>139</v>
      </c>
      <c r="F76" s="39" t="s">
        <v>219</v>
      </c>
      <c r="G76" s="59"/>
      <c r="H76" s="39" t="s">
        <v>219</v>
      </c>
      <c r="I76" s="59"/>
      <c r="J76" s="39" t="s">
        <v>220</v>
      </c>
      <c r="K76" s="39" t="s">
        <v>220</v>
      </c>
      <c r="L76" s="59"/>
    </row>
    <row r="77" spans="1:12" ht="15.6">
      <c r="A77" s="59"/>
      <c r="B77" s="40" t="s">
        <v>221</v>
      </c>
      <c r="C77" s="59"/>
      <c r="D77" s="59"/>
      <c r="E77" s="59"/>
      <c r="F77" s="40" t="s">
        <v>222</v>
      </c>
      <c r="G77" s="59"/>
      <c r="H77" s="40" t="s">
        <v>222</v>
      </c>
      <c r="I77" s="59"/>
      <c r="J77" s="40" t="s">
        <v>223</v>
      </c>
      <c r="K77" s="40" t="s">
        <v>223</v>
      </c>
      <c r="L77" s="59"/>
    </row>
    <row r="78" spans="1:12" ht="15.6">
      <c r="A78" s="59"/>
      <c r="B78" s="40" t="s">
        <v>224</v>
      </c>
      <c r="C78" s="59"/>
      <c r="D78" s="59"/>
      <c r="E78" s="59"/>
      <c r="F78" s="40" t="s">
        <v>225</v>
      </c>
      <c r="G78" s="59"/>
      <c r="H78" s="40" t="s">
        <v>225</v>
      </c>
      <c r="I78" s="59"/>
      <c r="J78" s="40" t="s">
        <v>226</v>
      </c>
      <c r="K78" s="40" t="s">
        <v>226</v>
      </c>
      <c r="L78" s="59"/>
    </row>
    <row r="79" spans="1:12">
      <c r="A79" s="59"/>
      <c r="B79" s="42"/>
      <c r="C79" s="59"/>
      <c r="D79" s="59"/>
      <c r="E79" s="59"/>
      <c r="F79" s="42"/>
      <c r="G79" s="59"/>
      <c r="H79" s="42"/>
      <c r="I79" s="59"/>
      <c r="J79" s="42"/>
      <c r="K79" s="42"/>
      <c r="L79" s="59"/>
    </row>
    <row r="80" spans="1:12" ht="15.6">
      <c r="A80" s="59"/>
      <c r="B80" s="42"/>
      <c r="C80" s="59"/>
      <c r="D80" s="59"/>
      <c r="E80" s="59"/>
      <c r="F80" s="42"/>
      <c r="G80" s="59"/>
      <c r="H80" s="42"/>
      <c r="I80" s="59"/>
      <c r="J80" s="40" t="s">
        <v>119</v>
      </c>
      <c r="K80" s="40" t="s">
        <v>120</v>
      </c>
      <c r="L80" s="59"/>
    </row>
    <row r="81" spans="1:12" ht="31.2">
      <c r="A81" s="59"/>
      <c r="B81" s="42"/>
      <c r="C81" s="59"/>
      <c r="D81" s="59"/>
      <c r="E81" s="59"/>
      <c r="F81" s="42"/>
      <c r="G81" s="59"/>
      <c r="H81" s="42"/>
      <c r="I81" s="59"/>
      <c r="J81" s="40" t="s">
        <v>121</v>
      </c>
      <c r="K81" s="40" t="s">
        <v>122</v>
      </c>
      <c r="L81" s="59"/>
    </row>
    <row r="82" spans="1:12" ht="15.6">
      <c r="A82" s="59"/>
      <c r="B82" s="42"/>
      <c r="C82" s="59"/>
      <c r="D82" s="59"/>
      <c r="E82" s="59"/>
      <c r="F82" s="42"/>
      <c r="G82" s="59"/>
      <c r="H82" s="42"/>
      <c r="I82" s="59"/>
      <c r="J82" s="40" t="s">
        <v>123</v>
      </c>
      <c r="K82" s="40" t="s">
        <v>124</v>
      </c>
      <c r="L82" s="59"/>
    </row>
    <row r="83" spans="1:12" ht="31.2">
      <c r="A83" s="59"/>
      <c r="B83" s="42"/>
      <c r="C83" s="59"/>
      <c r="D83" s="59"/>
      <c r="E83" s="59"/>
      <c r="F83" s="42"/>
      <c r="G83" s="59"/>
      <c r="H83" s="42"/>
      <c r="I83" s="59"/>
      <c r="J83" s="40" t="s">
        <v>125</v>
      </c>
      <c r="K83" s="40" t="s">
        <v>126</v>
      </c>
      <c r="L83" s="59"/>
    </row>
    <row r="84" spans="1:12" ht="15.6">
      <c r="A84" s="59"/>
      <c r="B84" s="42"/>
      <c r="C84" s="59"/>
      <c r="D84" s="59"/>
      <c r="E84" s="59"/>
      <c r="F84" s="42"/>
      <c r="G84" s="59"/>
      <c r="H84" s="42"/>
      <c r="I84" s="59"/>
      <c r="J84" s="40" t="s">
        <v>127</v>
      </c>
      <c r="K84" s="42"/>
      <c r="L84" s="59"/>
    </row>
    <row r="85" spans="1:12" ht="16.95" customHeight="1">
      <c r="A85" s="59">
        <v>11</v>
      </c>
      <c r="B85" s="39" t="s">
        <v>227</v>
      </c>
      <c r="C85" s="59" t="s">
        <v>105</v>
      </c>
      <c r="D85" s="59" t="s">
        <v>80</v>
      </c>
      <c r="E85" s="59" t="s">
        <v>228</v>
      </c>
      <c r="F85" s="39" t="s">
        <v>229</v>
      </c>
      <c r="G85" s="59"/>
      <c r="H85" s="39" t="s">
        <v>229</v>
      </c>
      <c r="I85" s="59"/>
      <c r="J85" s="39" t="s">
        <v>230</v>
      </c>
      <c r="K85" s="39" t="s">
        <v>230</v>
      </c>
      <c r="L85" s="59"/>
    </row>
    <row r="86" spans="1:12" ht="15.6">
      <c r="A86" s="59"/>
      <c r="B86" s="40" t="s">
        <v>224</v>
      </c>
      <c r="C86" s="59"/>
      <c r="D86" s="59"/>
      <c r="E86" s="59"/>
      <c r="F86" s="40" t="s">
        <v>231</v>
      </c>
      <c r="G86" s="59"/>
      <c r="H86" s="40" t="s">
        <v>231</v>
      </c>
      <c r="I86" s="59"/>
      <c r="J86" s="40" t="s">
        <v>232</v>
      </c>
      <c r="K86" s="40" t="s">
        <v>232</v>
      </c>
      <c r="L86" s="59"/>
    </row>
    <row r="87" spans="1:12" ht="15.6">
      <c r="A87" s="59"/>
      <c r="B87" s="42"/>
      <c r="C87" s="59"/>
      <c r="D87" s="59"/>
      <c r="E87" s="59"/>
      <c r="F87" s="40" t="s">
        <v>233</v>
      </c>
      <c r="G87" s="59"/>
      <c r="H87" s="40" t="s">
        <v>233</v>
      </c>
      <c r="I87" s="59"/>
      <c r="J87" s="40" t="s">
        <v>234</v>
      </c>
      <c r="K87" s="40" t="s">
        <v>234</v>
      </c>
      <c r="L87" s="59"/>
    </row>
    <row r="88" spans="1:12" ht="15.6">
      <c r="A88" s="59"/>
      <c r="B88" s="42"/>
      <c r="C88" s="59"/>
      <c r="D88" s="59"/>
      <c r="E88" s="59"/>
      <c r="F88" s="42"/>
      <c r="G88" s="59"/>
      <c r="H88" s="42"/>
      <c r="I88" s="59"/>
      <c r="J88" s="40" t="s">
        <v>119</v>
      </c>
      <c r="K88" s="40" t="s">
        <v>120</v>
      </c>
      <c r="L88" s="59"/>
    </row>
    <row r="89" spans="1:12" ht="31.2">
      <c r="A89" s="59"/>
      <c r="B89" s="42"/>
      <c r="C89" s="59"/>
      <c r="D89" s="59"/>
      <c r="E89" s="59"/>
      <c r="F89" s="42"/>
      <c r="G89" s="59"/>
      <c r="H89" s="42"/>
      <c r="I89" s="59"/>
      <c r="J89" s="40" t="s">
        <v>121</v>
      </c>
      <c r="K89" s="40" t="s">
        <v>122</v>
      </c>
      <c r="L89" s="59"/>
    </row>
    <row r="90" spans="1:12" ht="15.6">
      <c r="A90" s="59"/>
      <c r="B90" s="42"/>
      <c r="C90" s="59"/>
      <c r="D90" s="59"/>
      <c r="E90" s="59"/>
      <c r="F90" s="42"/>
      <c r="G90" s="59"/>
      <c r="H90" s="42"/>
      <c r="I90" s="59"/>
      <c r="J90" s="40" t="s">
        <v>123</v>
      </c>
      <c r="K90" s="40" t="s">
        <v>124</v>
      </c>
      <c r="L90" s="59"/>
    </row>
    <row r="91" spans="1:12" ht="31.2">
      <c r="A91" s="59"/>
      <c r="B91" s="42"/>
      <c r="C91" s="59"/>
      <c r="D91" s="59"/>
      <c r="E91" s="59"/>
      <c r="F91" s="42"/>
      <c r="G91" s="59"/>
      <c r="H91" s="42"/>
      <c r="I91" s="59"/>
      <c r="J91" s="40" t="s">
        <v>125</v>
      </c>
      <c r="K91" s="40" t="s">
        <v>126</v>
      </c>
      <c r="L91" s="59"/>
    </row>
    <row r="92" spans="1:12" ht="15.6">
      <c r="A92" s="59"/>
      <c r="B92" s="42"/>
      <c r="C92" s="59"/>
      <c r="D92" s="59"/>
      <c r="E92" s="59"/>
      <c r="F92" s="42"/>
      <c r="G92" s="59"/>
      <c r="H92" s="42"/>
      <c r="I92" s="59"/>
      <c r="J92" s="40" t="s">
        <v>127</v>
      </c>
      <c r="K92" s="42"/>
      <c r="L92" s="59"/>
    </row>
    <row r="93" spans="1:12" ht="16.95" customHeight="1">
      <c r="A93" s="59">
        <v>12</v>
      </c>
      <c r="B93" s="39" t="s">
        <v>235</v>
      </c>
      <c r="C93" s="59" t="s">
        <v>105</v>
      </c>
      <c r="D93" s="59" t="s">
        <v>236</v>
      </c>
      <c r="E93" s="59" t="s">
        <v>139</v>
      </c>
      <c r="F93" s="39" t="s">
        <v>237</v>
      </c>
      <c r="G93" s="59"/>
      <c r="H93" s="39" t="s">
        <v>237</v>
      </c>
      <c r="I93" s="59"/>
      <c r="J93" s="39" t="s">
        <v>238</v>
      </c>
      <c r="K93" s="39" t="s">
        <v>238</v>
      </c>
      <c r="L93" s="59"/>
    </row>
    <row r="94" spans="1:12" ht="15.6">
      <c r="A94" s="59"/>
      <c r="B94" s="40" t="s">
        <v>239</v>
      </c>
      <c r="C94" s="59"/>
      <c r="D94" s="59"/>
      <c r="E94" s="59"/>
      <c r="F94" s="40" t="s">
        <v>240</v>
      </c>
      <c r="G94" s="59"/>
      <c r="H94" s="40" t="s">
        <v>240</v>
      </c>
      <c r="I94" s="59"/>
      <c r="J94" s="40" t="s">
        <v>241</v>
      </c>
      <c r="K94" s="40" t="s">
        <v>241</v>
      </c>
      <c r="L94" s="59"/>
    </row>
    <row r="95" spans="1:12" ht="15.6">
      <c r="A95" s="59"/>
      <c r="B95" s="40" t="s">
        <v>242</v>
      </c>
      <c r="C95" s="59"/>
      <c r="D95" s="59"/>
      <c r="E95" s="59"/>
      <c r="F95" s="40" t="s">
        <v>243</v>
      </c>
      <c r="G95" s="59"/>
      <c r="H95" s="40" t="s">
        <v>243</v>
      </c>
      <c r="I95" s="59"/>
      <c r="J95" s="40" t="s">
        <v>244</v>
      </c>
      <c r="K95" s="40" t="s">
        <v>244</v>
      </c>
      <c r="L95" s="59"/>
    </row>
    <row r="96" spans="1:12" ht="15.6">
      <c r="A96" s="59"/>
      <c r="B96" s="42"/>
      <c r="C96" s="59"/>
      <c r="D96" s="59"/>
      <c r="E96" s="59"/>
      <c r="F96" s="42"/>
      <c r="G96" s="59"/>
      <c r="H96" s="42"/>
      <c r="I96" s="59"/>
      <c r="J96" s="40" t="s">
        <v>119</v>
      </c>
      <c r="K96" s="40" t="s">
        <v>120</v>
      </c>
      <c r="L96" s="59"/>
    </row>
    <row r="97" spans="1:12" ht="31.2">
      <c r="A97" s="59"/>
      <c r="B97" s="42"/>
      <c r="C97" s="59"/>
      <c r="D97" s="59"/>
      <c r="E97" s="59"/>
      <c r="F97" s="42"/>
      <c r="G97" s="59"/>
      <c r="H97" s="42"/>
      <c r="I97" s="59"/>
      <c r="J97" s="40" t="s">
        <v>121</v>
      </c>
      <c r="K97" s="40" t="s">
        <v>122</v>
      </c>
      <c r="L97" s="59"/>
    </row>
    <row r="98" spans="1:12" ht="15.6">
      <c r="A98" s="59"/>
      <c r="B98" s="42"/>
      <c r="C98" s="59"/>
      <c r="D98" s="59"/>
      <c r="E98" s="59"/>
      <c r="F98" s="42"/>
      <c r="G98" s="59"/>
      <c r="H98" s="42"/>
      <c r="I98" s="59"/>
      <c r="J98" s="40" t="s">
        <v>123</v>
      </c>
      <c r="K98" s="40" t="s">
        <v>124</v>
      </c>
      <c r="L98" s="59"/>
    </row>
    <row r="99" spans="1:12" ht="31.2">
      <c r="A99" s="59"/>
      <c r="B99" s="42"/>
      <c r="C99" s="59"/>
      <c r="D99" s="59"/>
      <c r="E99" s="59"/>
      <c r="F99" s="42"/>
      <c r="G99" s="59"/>
      <c r="H99" s="42"/>
      <c r="I99" s="59"/>
      <c r="J99" s="40" t="s">
        <v>125</v>
      </c>
      <c r="K99" s="40" t="s">
        <v>126</v>
      </c>
      <c r="L99" s="59"/>
    </row>
    <row r="100" spans="1:12" ht="15.6">
      <c r="A100" s="59"/>
      <c r="B100" s="42"/>
      <c r="C100" s="59"/>
      <c r="D100" s="59"/>
      <c r="E100" s="59"/>
      <c r="F100" s="42"/>
      <c r="G100" s="59"/>
      <c r="H100" s="42"/>
      <c r="I100" s="59"/>
      <c r="J100" s="40" t="s">
        <v>127</v>
      </c>
      <c r="K100" s="42"/>
      <c r="L100" s="59"/>
    </row>
    <row r="101" spans="1:12" ht="16.95" customHeight="1">
      <c r="A101" s="59">
        <v>13</v>
      </c>
      <c r="B101" s="39" t="s">
        <v>245</v>
      </c>
      <c r="C101" s="59" t="s">
        <v>105</v>
      </c>
      <c r="D101" s="59" t="s">
        <v>246</v>
      </c>
      <c r="E101" s="59" t="s">
        <v>139</v>
      </c>
      <c r="F101" s="39" t="s">
        <v>247</v>
      </c>
      <c r="G101" s="59"/>
      <c r="H101" s="39" t="s">
        <v>247</v>
      </c>
      <c r="I101" s="59"/>
      <c r="J101" s="39" t="s">
        <v>248</v>
      </c>
      <c r="K101" s="39" t="s">
        <v>248</v>
      </c>
      <c r="L101" s="59"/>
    </row>
    <row r="102" spans="1:12" ht="15.6">
      <c r="A102" s="59"/>
      <c r="B102" s="40" t="s">
        <v>249</v>
      </c>
      <c r="C102" s="59"/>
      <c r="D102" s="59"/>
      <c r="E102" s="59"/>
      <c r="F102" s="40" t="s">
        <v>250</v>
      </c>
      <c r="G102" s="59"/>
      <c r="H102" s="40" t="s">
        <v>250</v>
      </c>
      <c r="I102" s="59"/>
      <c r="J102" s="40" t="s">
        <v>251</v>
      </c>
      <c r="K102" s="40" t="s">
        <v>251</v>
      </c>
      <c r="L102" s="59"/>
    </row>
    <row r="103" spans="1:12" ht="31.2">
      <c r="A103" s="59"/>
      <c r="B103" s="42"/>
      <c r="C103" s="59"/>
      <c r="D103" s="59"/>
      <c r="E103" s="59"/>
      <c r="F103" s="40" t="s">
        <v>252</v>
      </c>
      <c r="G103" s="59"/>
      <c r="H103" s="40" t="s">
        <v>252</v>
      </c>
      <c r="I103" s="59"/>
      <c r="J103" s="40" t="s">
        <v>253</v>
      </c>
      <c r="K103" s="40" t="s">
        <v>253</v>
      </c>
      <c r="L103" s="59"/>
    </row>
    <row r="104" spans="1:12" ht="15.6">
      <c r="A104" s="59"/>
      <c r="B104" s="42"/>
      <c r="C104" s="59"/>
      <c r="D104" s="59"/>
      <c r="E104" s="59"/>
      <c r="F104" s="42"/>
      <c r="G104" s="59"/>
      <c r="H104" s="42"/>
      <c r="I104" s="59"/>
      <c r="J104" s="40" t="s">
        <v>254</v>
      </c>
      <c r="K104" s="40" t="s">
        <v>254</v>
      </c>
      <c r="L104" s="59"/>
    </row>
    <row r="105" spans="1:12" ht="15.6">
      <c r="A105" s="59"/>
      <c r="B105" s="42"/>
      <c r="C105" s="59"/>
      <c r="D105" s="59"/>
      <c r="E105" s="59"/>
      <c r="F105" s="42"/>
      <c r="G105" s="59"/>
      <c r="H105" s="42"/>
      <c r="I105" s="59"/>
      <c r="J105" s="40" t="s">
        <v>119</v>
      </c>
      <c r="K105" s="40" t="s">
        <v>120</v>
      </c>
      <c r="L105" s="59"/>
    </row>
    <row r="106" spans="1:12" ht="31.2">
      <c r="A106" s="59"/>
      <c r="B106" s="42"/>
      <c r="C106" s="59"/>
      <c r="D106" s="59"/>
      <c r="E106" s="59"/>
      <c r="F106" s="42"/>
      <c r="G106" s="59"/>
      <c r="H106" s="42"/>
      <c r="I106" s="59"/>
      <c r="J106" s="40" t="s">
        <v>121</v>
      </c>
      <c r="K106" s="40" t="s">
        <v>122</v>
      </c>
      <c r="L106" s="59"/>
    </row>
    <row r="107" spans="1:12" ht="15.6">
      <c r="A107" s="59"/>
      <c r="B107" s="42"/>
      <c r="C107" s="59"/>
      <c r="D107" s="59"/>
      <c r="E107" s="59"/>
      <c r="F107" s="42"/>
      <c r="G107" s="59"/>
      <c r="H107" s="42"/>
      <c r="I107" s="59"/>
      <c r="J107" s="40" t="s">
        <v>123</v>
      </c>
      <c r="K107" s="40" t="s">
        <v>159</v>
      </c>
      <c r="L107" s="59"/>
    </row>
    <row r="108" spans="1:12" ht="15.6">
      <c r="A108" s="59"/>
      <c r="B108" s="42"/>
      <c r="C108" s="59"/>
      <c r="D108" s="59"/>
      <c r="E108" s="59"/>
      <c r="F108" s="42"/>
      <c r="G108" s="59"/>
      <c r="H108" s="42"/>
      <c r="I108" s="59"/>
      <c r="J108" s="40" t="s">
        <v>160</v>
      </c>
      <c r="K108" s="40" t="s">
        <v>124</v>
      </c>
      <c r="L108" s="59"/>
    </row>
    <row r="109" spans="1:12" ht="31.2">
      <c r="A109" s="59"/>
      <c r="B109" s="42"/>
      <c r="C109" s="59"/>
      <c r="D109" s="59"/>
      <c r="E109" s="59"/>
      <c r="F109" s="42"/>
      <c r="G109" s="59"/>
      <c r="H109" s="42"/>
      <c r="I109" s="59"/>
      <c r="J109" s="40" t="s">
        <v>125</v>
      </c>
      <c r="K109" s="40" t="s">
        <v>126</v>
      </c>
      <c r="L109" s="59"/>
    </row>
    <row r="110" spans="1:12" ht="15.6">
      <c r="A110" s="59"/>
      <c r="B110" s="42"/>
      <c r="C110" s="59"/>
      <c r="D110" s="59"/>
      <c r="E110" s="59"/>
      <c r="F110" s="42"/>
      <c r="G110" s="59"/>
      <c r="H110" s="42"/>
      <c r="I110" s="59"/>
      <c r="J110" s="40" t="s">
        <v>127</v>
      </c>
      <c r="K110" s="42"/>
      <c r="L110" s="59"/>
    </row>
    <row r="111" spans="1:12" ht="16.95" customHeight="1">
      <c r="A111" s="59">
        <v>14</v>
      </c>
      <c r="B111" s="39" t="s">
        <v>255</v>
      </c>
      <c r="C111" s="59" t="s">
        <v>105</v>
      </c>
      <c r="D111" s="59" t="s">
        <v>256</v>
      </c>
      <c r="E111" s="59" t="s">
        <v>139</v>
      </c>
      <c r="F111" s="39" t="s">
        <v>257</v>
      </c>
      <c r="G111" s="59"/>
      <c r="H111" s="39" t="s">
        <v>257</v>
      </c>
      <c r="I111" s="59"/>
      <c r="J111" s="39" t="s">
        <v>258</v>
      </c>
      <c r="K111" s="39" t="s">
        <v>258</v>
      </c>
      <c r="L111" s="59"/>
    </row>
    <row r="112" spans="1:12" ht="15.6">
      <c r="A112" s="59"/>
      <c r="B112" s="40" t="s">
        <v>259</v>
      </c>
      <c r="C112" s="59"/>
      <c r="D112" s="59"/>
      <c r="E112" s="59"/>
      <c r="F112" s="40" t="s">
        <v>260</v>
      </c>
      <c r="G112" s="59"/>
      <c r="H112" s="40" t="s">
        <v>260</v>
      </c>
      <c r="I112" s="59"/>
      <c r="J112" s="40" t="s">
        <v>261</v>
      </c>
      <c r="K112" s="40" t="s">
        <v>261</v>
      </c>
      <c r="L112" s="59"/>
    </row>
    <row r="113" spans="1:12" ht="15.6">
      <c r="A113" s="59"/>
      <c r="B113" s="42"/>
      <c r="C113" s="59"/>
      <c r="D113" s="59"/>
      <c r="E113" s="59"/>
      <c r="F113" s="40" t="s">
        <v>262</v>
      </c>
      <c r="G113" s="59"/>
      <c r="H113" s="40" t="s">
        <v>262</v>
      </c>
      <c r="I113" s="59"/>
      <c r="J113" s="40" t="s">
        <v>263</v>
      </c>
      <c r="K113" s="40" t="s">
        <v>263</v>
      </c>
      <c r="L113" s="59"/>
    </row>
    <row r="114" spans="1:12">
      <c r="A114" s="59"/>
      <c r="B114" s="42"/>
      <c r="C114" s="59"/>
      <c r="D114" s="59"/>
      <c r="E114" s="59"/>
      <c r="F114" s="42"/>
      <c r="G114" s="59"/>
      <c r="H114" s="42"/>
      <c r="I114" s="59"/>
      <c r="J114" s="42"/>
      <c r="K114" s="42"/>
      <c r="L114" s="59"/>
    </row>
    <row r="115" spans="1:12" ht="15.6">
      <c r="A115" s="59"/>
      <c r="B115" s="42"/>
      <c r="C115" s="59"/>
      <c r="D115" s="59"/>
      <c r="E115" s="59"/>
      <c r="F115" s="42"/>
      <c r="G115" s="59"/>
      <c r="H115" s="42"/>
      <c r="I115" s="59"/>
      <c r="J115" s="40" t="s">
        <v>119</v>
      </c>
      <c r="K115" s="40" t="s">
        <v>120</v>
      </c>
      <c r="L115" s="59"/>
    </row>
    <row r="116" spans="1:12" ht="31.2">
      <c r="A116" s="59"/>
      <c r="B116" s="42"/>
      <c r="C116" s="59"/>
      <c r="D116" s="59"/>
      <c r="E116" s="59"/>
      <c r="F116" s="42"/>
      <c r="G116" s="59"/>
      <c r="H116" s="42"/>
      <c r="I116" s="59"/>
      <c r="J116" s="40" t="s">
        <v>121</v>
      </c>
      <c r="K116" s="40" t="s">
        <v>122</v>
      </c>
      <c r="L116" s="59"/>
    </row>
    <row r="117" spans="1:12" ht="15.6">
      <c r="A117" s="59"/>
      <c r="B117" s="42"/>
      <c r="C117" s="59"/>
      <c r="D117" s="59"/>
      <c r="E117" s="59"/>
      <c r="F117" s="42"/>
      <c r="G117" s="59"/>
      <c r="H117" s="42"/>
      <c r="I117" s="59"/>
      <c r="J117" s="40" t="s">
        <v>123</v>
      </c>
      <c r="K117" s="40" t="s">
        <v>124</v>
      </c>
      <c r="L117" s="59"/>
    </row>
    <row r="118" spans="1:12" ht="31.2">
      <c r="A118" s="59"/>
      <c r="B118" s="42"/>
      <c r="C118" s="59"/>
      <c r="D118" s="59"/>
      <c r="E118" s="59"/>
      <c r="F118" s="42"/>
      <c r="G118" s="59"/>
      <c r="H118" s="42"/>
      <c r="I118" s="59"/>
      <c r="J118" s="40" t="s">
        <v>125</v>
      </c>
      <c r="K118" s="40" t="s">
        <v>126</v>
      </c>
      <c r="L118" s="59"/>
    </row>
    <row r="119" spans="1:12" ht="15.6">
      <c r="A119" s="59"/>
      <c r="B119" s="42"/>
      <c r="C119" s="59"/>
      <c r="D119" s="59"/>
      <c r="E119" s="59"/>
      <c r="F119" s="42"/>
      <c r="G119" s="59"/>
      <c r="H119" s="42"/>
      <c r="I119" s="59"/>
      <c r="J119" s="40" t="s">
        <v>127</v>
      </c>
      <c r="K119" s="42"/>
      <c r="L119" s="59"/>
    </row>
    <row r="120" spans="1:12" ht="16.95" customHeight="1">
      <c r="A120" s="59">
        <v>15</v>
      </c>
      <c r="B120" s="39" t="s">
        <v>264</v>
      </c>
      <c r="C120" s="59" t="s">
        <v>105</v>
      </c>
      <c r="D120" s="59" t="s">
        <v>256</v>
      </c>
      <c r="E120" s="59" t="s">
        <v>139</v>
      </c>
      <c r="F120" s="39" t="s">
        <v>265</v>
      </c>
      <c r="G120" s="59"/>
      <c r="H120" s="39" t="s">
        <v>265</v>
      </c>
      <c r="I120" s="59"/>
      <c r="J120" s="39" t="s">
        <v>266</v>
      </c>
      <c r="K120" s="39" t="s">
        <v>266</v>
      </c>
      <c r="L120" s="59"/>
    </row>
    <row r="121" spans="1:12" ht="15.6">
      <c r="A121" s="59"/>
      <c r="B121" s="40" t="s">
        <v>259</v>
      </c>
      <c r="C121" s="59"/>
      <c r="D121" s="59"/>
      <c r="E121" s="59"/>
      <c r="F121" s="40" t="s">
        <v>267</v>
      </c>
      <c r="G121" s="59"/>
      <c r="H121" s="40" t="s">
        <v>267</v>
      </c>
      <c r="I121" s="59"/>
      <c r="J121" s="40" t="s">
        <v>268</v>
      </c>
      <c r="K121" s="40" t="s">
        <v>268</v>
      </c>
      <c r="L121" s="59"/>
    </row>
    <row r="122" spans="1:12" ht="15.6">
      <c r="A122" s="59"/>
      <c r="B122" s="42"/>
      <c r="C122" s="59"/>
      <c r="D122" s="59"/>
      <c r="E122" s="59"/>
      <c r="F122" s="40" t="s">
        <v>269</v>
      </c>
      <c r="G122" s="59"/>
      <c r="H122" s="40" t="s">
        <v>269</v>
      </c>
      <c r="I122" s="59"/>
      <c r="J122" s="40" t="s">
        <v>270</v>
      </c>
      <c r="K122" s="40" t="s">
        <v>270</v>
      </c>
      <c r="L122" s="59"/>
    </row>
    <row r="123" spans="1:12" ht="15.6">
      <c r="A123" s="59"/>
      <c r="B123" s="42"/>
      <c r="C123" s="59"/>
      <c r="D123" s="59"/>
      <c r="E123" s="59"/>
      <c r="F123" s="42"/>
      <c r="G123" s="59"/>
      <c r="H123" s="42"/>
      <c r="I123" s="59"/>
      <c r="J123" s="40" t="s">
        <v>271</v>
      </c>
      <c r="K123" s="40" t="s">
        <v>271</v>
      </c>
      <c r="L123" s="59"/>
    </row>
    <row r="124" spans="1:12" ht="15.6">
      <c r="A124" s="59"/>
      <c r="B124" s="42"/>
      <c r="C124" s="59"/>
      <c r="D124" s="59"/>
      <c r="E124" s="59"/>
      <c r="F124" s="42"/>
      <c r="G124" s="59"/>
      <c r="H124" s="42"/>
      <c r="I124" s="59"/>
      <c r="J124" s="40" t="s">
        <v>119</v>
      </c>
      <c r="K124" s="40" t="s">
        <v>120</v>
      </c>
      <c r="L124" s="59"/>
    </row>
    <row r="125" spans="1:12" ht="31.2">
      <c r="A125" s="59"/>
      <c r="B125" s="42"/>
      <c r="C125" s="59"/>
      <c r="D125" s="59"/>
      <c r="E125" s="59"/>
      <c r="F125" s="42"/>
      <c r="G125" s="59"/>
      <c r="H125" s="42"/>
      <c r="I125" s="59"/>
      <c r="J125" s="40" t="s">
        <v>121</v>
      </c>
      <c r="K125" s="40" t="s">
        <v>122</v>
      </c>
      <c r="L125" s="59"/>
    </row>
    <row r="126" spans="1:12" ht="15.6">
      <c r="A126" s="59"/>
      <c r="B126" s="42"/>
      <c r="C126" s="59"/>
      <c r="D126" s="59"/>
      <c r="E126" s="59"/>
      <c r="F126" s="42"/>
      <c r="G126" s="59"/>
      <c r="H126" s="42"/>
      <c r="I126" s="59"/>
      <c r="J126" s="40" t="s">
        <v>123</v>
      </c>
      <c r="K126" s="40" t="s">
        <v>124</v>
      </c>
      <c r="L126" s="59"/>
    </row>
    <row r="127" spans="1:12" ht="31.2">
      <c r="A127" s="59"/>
      <c r="B127" s="42"/>
      <c r="C127" s="59"/>
      <c r="D127" s="59"/>
      <c r="E127" s="59"/>
      <c r="F127" s="42"/>
      <c r="G127" s="59"/>
      <c r="H127" s="42"/>
      <c r="I127" s="59"/>
      <c r="J127" s="40" t="s">
        <v>125</v>
      </c>
      <c r="K127" s="40" t="s">
        <v>126</v>
      </c>
      <c r="L127" s="59"/>
    </row>
    <row r="128" spans="1:12" ht="15.6">
      <c r="A128" s="59"/>
      <c r="B128" s="42"/>
      <c r="C128" s="59"/>
      <c r="D128" s="59"/>
      <c r="E128" s="59"/>
      <c r="F128" s="42"/>
      <c r="G128" s="59"/>
      <c r="H128" s="42"/>
      <c r="I128" s="59"/>
      <c r="J128" s="40" t="s">
        <v>127</v>
      </c>
      <c r="K128" s="42"/>
      <c r="L128" s="59"/>
    </row>
    <row r="129" spans="1:12" ht="16.95" customHeight="1">
      <c r="A129" s="59">
        <v>16</v>
      </c>
      <c r="B129" s="39" t="s">
        <v>272</v>
      </c>
      <c r="C129" s="59" t="s">
        <v>105</v>
      </c>
      <c r="D129" s="59" t="s">
        <v>273</v>
      </c>
      <c r="E129" s="59" t="s">
        <v>139</v>
      </c>
      <c r="F129" s="39" t="s">
        <v>274</v>
      </c>
      <c r="G129" s="59"/>
      <c r="H129" s="39" t="s">
        <v>274</v>
      </c>
      <c r="I129" s="59"/>
      <c r="J129" s="39" t="s">
        <v>275</v>
      </c>
      <c r="K129" s="39" t="s">
        <v>275</v>
      </c>
      <c r="L129" s="59"/>
    </row>
    <row r="130" spans="1:12" ht="15.6">
      <c r="A130" s="59"/>
      <c r="B130" s="40" t="s">
        <v>276</v>
      </c>
      <c r="C130" s="59"/>
      <c r="D130" s="59"/>
      <c r="E130" s="59"/>
      <c r="F130" s="40" t="s">
        <v>277</v>
      </c>
      <c r="G130" s="59"/>
      <c r="H130" s="40" t="s">
        <v>277</v>
      </c>
      <c r="I130" s="59"/>
      <c r="J130" s="40" t="s">
        <v>278</v>
      </c>
      <c r="K130" s="40" t="s">
        <v>278</v>
      </c>
      <c r="L130" s="59"/>
    </row>
    <row r="131" spans="1:12" ht="15.6">
      <c r="A131" s="59"/>
      <c r="B131" s="42"/>
      <c r="C131" s="59"/>
      <c r="D131" s="59"/>
      <c r="E131" s="59"/>
      <c r="F131" s="40" t="s">
        <v>279</v>
      </c>
      <c r="G131" s="59"/>
      <c r="H131" s="40" t="s">
        <v>279</v>
      </c>
      <c r="I131" s="59"/>
      <c r="J131" s="40" t="s">
        <v>280</v>
      </c>
      <c r="K131" s="40" t="s">
        <v>280</v>
      </c>
      <c r="L131" s="59"/>
    </row>
    <row r="132" spans="1:12" ht="15.6">
      <c r="A132" s="59"/>
      <c r="B132" s="42"/>
      <c r="C132" s="59"/>
      <c r="D132" s="59"/>
      <c r="E132" s="59"/>
      <c r="F132" s="42"/>
      <c r="G132" s="59"/>
      <c r="H132" s="42"/>
      <c r="I132" s="59"/>
      <c r="J132" s="40" t="s">
        <v>119</v>
      </c>
      <c r="K132" s="40" t="s">
        <v>120</v>
      </c>
      <c r="L132" s="59"/>
    </row>
    <row r="133" spans="1:12" ht="31.2">
      <c r="A133" s="59"/>
      <c r="B133" s="42"/>
      <c r="C133" s="59"/>
      <c r="D133" s="59"/>
      <c r="E133" s="59"/>
      <c r="F133" s="42"/>
      <c r="G133" s="59"/>
      <c r="H133" s="42"/>
      <c r="I133" s="59"/>
      <c r="J133" s="40" t="s">
        <v>121</v>
      </c>
      <c r="K133" s="40" t="s">
        <v>122</v>
      </c>
      <c r="L133" s="59"/>
    </row>
    <row r="134" spans="1:12" ht="15.6">
      <c r="A134" s="59"/>
      <c r="B134" s="42"/>
      <c r="C134" s="59"/>
      <c r="D134" s="59"/>
      <c r="E134" s="59"/>
      <c r="F134" s="42"/>
      <c r="G134" s="59"/>
      <c r="H134" s="42"/>
      <c r="I134" s="59"/>
      <c r="J134" s="40" t="s">
        <v>123</v>
      </c>
      <c r="K134" s="40" t="s">
        <v>124</v>
      </c>
      <c r="L134" s="59"/>
    </row>
    <row r="135" spans="1:12" ht="31.2">
      <c r="A135" s="59"/>
      <c r="B135" s="42"/>
      <c r="C135" s="59"/>
      <c r="D135" s="59"/>
      <c r="E135" s="59"/>
      <c r="F135" s="42"/>
      <c r="G135" s="59"/>
      <c r="H135" s="42"/>
      <c r="I135" s="59"/>
      <c r="J135" s="40" t="s">
        <v>125</v>
      </c>
      <c r="K135" s="40" t="s">
        <v>126</v>
      </c>
      <c r="L135" s="59"/>
    </row>
    <row r="136" spans="1:12" ht="15.6">
      <c r="A136" s="59"/>
      <c r="B136" s="42"/>
      <c r="C136" s="59"/>
      <c r="D136" s="59"/>
      <c r="E136" s="59"/>
      <c r="F136" s="42"/>
      <c r="G136" s="59"/>
      <c r="H136" s="42"/>
      <c r="I136" s="59"/>
      <c r="J136" s="40" t="s">
        <v>127</v>
      </c>
      <c r="K136" s="42"/>
      <c r="L136" s="59"/>
    </row>
    <row r="137" spans="1:12" ht="16.95" customHeight="1">
      <c r="A137" s="59">
        <v>17</v>
      </c>
      <c r="B137" s="39" t="s">
        <v>281</v>
      </c>
      <c r="C137" s="59" t="s">
        <v>105</v>
      </c>
      <c r="D137" s="59" t="s">
        <v>282</v>
      </c>
      <c r="E137" s="59" t="s">
        <v>139</v>
      </c>
      <c r="F137" s="39" t="s">
        <v>283</v>
      </c>
      <c r="G137" s="59"/>
      <c r="H137" s="39" t="s">
        <v>283</v>
      </c>
      <c r="I137" s="59"/>
      <c r="J137" s="39" t="s">
        <v>284</v>
      </c>
      <c r="K137" s="39" t="s">
        <v>284</v>
      </c>
      <c r="L137" s="59"/>
    </row>
    <row r="138" spans="1:12" ht="15.6">
      <c r="A138" s="59"/>
      <c r="B138" s="40" t="s">
        <v>285</v>
      </c>
      <c r="C138" s="59"/>
      <c r="D138" s="59"/>
      <c r="E138" s="59"/>
      <c r="F138" s="40" t="s">
        <v>286</v>
      </c>
      <c r="G138" s="59"/>
      <c r="H138" s="40" t="s">
        <v>286</v>
      </c>
      <c r="I138" s="59"/>
      <c r="J138" s="40" t="s">
        <v>287</v>
      </c>
      <c r="K138" s="40" t="s">
        <v>287</v>
      </c>
      <c r="L138" s="59"/>
    </row>
    <row r="139" spans="1:12" ht="31.2">
      <c r="A139" s="59"/>
      <c r="B139" s="42"/>
      <c r="C139" s="59"/>
      <c r="D139" s="59"/>
      <c r="E139" s="59"/>
      <c r="F139" s="40" t="s">
        <v>288</v>
      </c>
      <c r="G139" s="59"/>
      <c r="H139" s="40" t="s">
        <v>288</v>
      </c>
      <c r="I139" s="59"/>
      <c r="J139" s="40" t="s">
        <v>289</v>
      </c>
      <c r="K139" s="40" t="s">
        <v>289</v>
      </c>
      <c r="L139" s="59"/>
    </row>
    <row r="140" spans="1:12" ht="15.6">
      <c r="A140" s="59"/>
      <c r="B140" s="42"/>
      <c r="C140" s="59"/>
      <c r="D140" s="59"/>
      <c r="E140" s="59"/>
      <c r="F140" s="42"/>
      <c r="G140" s="59"/>
      <c r="H140" s="42"/>
      <c r="I140" s="59"/>
      <c r="J140" s="40" t="s">
        <v>290</v>
      </c>
      <c r="K140" s="40" t="s">
        <v>290</v>
      </c>
      <c r="L140" s="59"/>
    </row>
    <row r="141" spans="1:12" ht="15.6">
      <c r="A141" s="59"/>
      <c r="B141" s="42"/>
      <c r="C141" s="59"/>
      <c r="D141" s="59"/>
      <c r="E141" s="59"/>
      <c r="F141" s="42"/>
      <c r="G141" s="59"/>
      <c r="H141" s="42"/>
      <c r="I141" s="59"/>
      <c r="J141" s="40" t="s">
        <v>291</v>
      </c>
      <c r="K141" s="40" t="s">
        <v>291</v>
      </c>
      <c r="L141" s="59"/>
    </row>
    <row r="142" spans="1:12" ht="15.6">
      <c r="A142" s="59"/>
      <c r="B142" s="42"/>
      <c r="C142" s="59"/>
      <c r="D142" s="59"/>
      <c r="E142" s="59"/>
      <c r="F142" s="42"/>
      <c r="G142" s="59"/>
      <c r="H142" s="42"/>
      <c r="I142" s="59"/>
      <c r="J142" s="40" t="s">
        <v>119</v>
      </c>
      <c r="K142" s="40" t="s">
        <v>120</v>
      </c>
      <c r="L142" s="59"/>
    </row>
    <row r="143" spans="1:12" ht="31.2">
      <c r="A143" s="59"/>
      <c r="B143" s="42"/>
      <c r="C143" s="59"/>
      <c r="D143" s="59"/>
      <c r="E143" s="59"/>
      <c r="F143" s="42"/>
      <c r="G143" s="59"/>
      <c r="H143" s="42"/>
      <c r="I143" s="59"/>
      <c r="J143" s="40" t="s">
        <v>121</v>
      </c>
      <c r="K143" s="40" t="s">
        <v>122</v>
      </c>
      <c r="L143" s="59"/>
    </row>
    <row r="144" spans="1:12" ht="15.6">
      <c r="A144" s="59"/>
      <c r="B144" s="42"/>
      <c r="C144" s="59"/>
      <c r="D144" s="59"/>
      <c r="E144" s="59"/>
      <c r="F144" s="42"/>
      <c r="G144" s="59"/>
      <c r="H144" s="42"/>
      <c r="I144" s="59"/>
      <c r="J144" s="40" t="s">
        <v>123</v>
      </c>
      <c r="K144" s="40" t="s">
        <v>159</v>
      </c>
      <c r="L144" s="59"/>
    </row>
    <row r="145" spans="1:12" ht="15.6">
      <c r="A145" s="59"/>
      <c r="B145" s="42"/>
      <c r="C145" s="59"/>
      <c r="D145" s="59"/>
      <c r="E145" s="59"/>
      <c r="F145" s="42"/>
      <c r="G145" s="59"/>
      <c r="H145" s="42"/>
      <c r="I145" s="59"/>
      <c r="J145" s="40" t="s">
        <v>160</v>
      </c>
      <c r="K145" s="40" t="s">
        <v>124</v>
      </c>
      <c r="L145" s="59"/>
    </row>
    <row r="146" spans="1:12" ht="31.2">
      <c r="A146" s="59"/>
      <c r="B146" s="42"/>
      <c r="C146" s="59"/>
      <c r="D146" s="59"/>
      <c r="E146" s="59"/>
      <c r="F146" s="42"/>
      <c r="G146" s="59"/>
      <c r="H146" s="42"/>
      <c r="I146" s="59"/>
      <c r="J146" s="40" t="s">
        <v>125</v>
      </c>
      <c r="K146" s="40" t="s">
        <v>126</v>
      </c>
      <c r="L146" s="59"/>
    </row>
    <row r="147" spans="1:12" ht="15.6">
      <c r="A147" s="59"/>
      <c r="B147" s="42"/>
      <c r="C147" s="59"/>
      <c r="D147" s="59"/>
      <c r="E147" s="59"/>
      <c r="F147" s="42"/>
      <c r="G147" s="59"/>
      <c r="H147" s="42"/>
      <c r="I147" s="59"/>
      <c r="J147" s="40" t="s">
        <v>127</v>
      </c>
      <c r="K147" s="42"/>
      <c r="L147" s="59"/>
    </row>
    <row r="148" spans="1:12" ht="32.549999999999997" customHeight="1">
      <c r="A148" s="59">
        <v>18</v>
      </c>
      <c r="B148" s="39" t="s">
        <v>292</v>
      </c>
      <c r="C148" s="59" t="s">
        <v>293</v>
      </c>
      <c r="D148" s="59" t="s">
        <v>294</v>
      </c>
      <c r="E148" s="59" t="s">
        <v>228</v>
      </c>
      <c r="F148" s="59"/>
      <c r="G148" s="59"/>
      <c r="H148" s="59"/>
      <c r="I148" s="59"/>
      <c r="J148" s="39" t="s">
        <v>295</v>
      </c>
      <c r="K148" s="59" t="s">
        <v>296</v>
      </c>
      <c r="L148" s="59"/>
    </row>
    <row r="149" spans="1:12" ht="15.6">
      <c r="A149" s="59"/>
      <c r="B149" s="40" t="s">
        <v>297</v>
      </c>
      <c r="C149" s="59"/>
      <c r="D149" s="59"/>
      <c r="E149" s="59"/>
      <c r="F149" s="59"/>
      <c r="G149" s="59"/>
      <c r="H149" s="59"/>
      <c r="I149" s="59"/>
      <c r="J149" s="40" t="s">
        <v>119</v>
      </c>
      <c r="K149" s="59"/>
      <c r="L149" s="59"/>
    </row>
    <row r="150" spans="1:12" ht="15.6">
      <c r="A150" s="59"/>
      <c r="B150" s="40" t="s">
        <v>298</v>
      </c>
      <c r="C150" s="59"/>
      <c r="D150" s="59"/>
      <c r="E150" s="59"/>
      <c r="F150" s="59"/>
      <c r="G150" s="59"/>
      <c r="H150" s="59"/>
      <c r="I150" s="59"/>
      <c r="J150" s="40" t="s">
        <v>216</v>
      </c>
      <c r="K150" s="59"/>
      <c r="L150" s="59"/>
    </row>
    <row r="151" spans="1:12" ht="15.6">
      <c r="A151" s="59"/>
      <c r="B151" s="40" t="s">
        <v>299</v>
      </c>
      <c r="C151" s="59"/>
      <c r="D151" s="59"/>
      <c r="E151" s="59"/>
      <c r="F151" s="59"/>
      <c r="G151" s="59"/>
      <c r="H151" s="59"/>
      <c r="I151" s="59"/>
      <c r="J151" s="40" t="s">
        <v>194</v>
      </c>
      <c r="K151" s="59"/>
      <c r="L151" s="59"/>
    </row>
    <row r="152" spans="1:12" ht="15.6">
      <c r="A152" s="59"/>
      <c r="B152" s="40" t="s">
        <v>300</v>
      </c>
      <c r="C152" s="59"/>
      <c r="D152" s="59"/>
      <c r="E152" s="59"/>
      <c r="F152" s="59"/>
      <c r="G152" s="59"/>
      <c r="H152" s="59"/>
      <c r="I152" s="59"/>
      <c r="J152" s="42"/>
      <c r="K152" s="59"/>
      <c r="L152" s="59"/>
    </row>
    <row r="153" spans="1:12" ht="15.6">
      <c r="A153" s="59"/>
      <c r="B153" s="40" t="s">
        <v>301</v>
      </c>
      <c r="C153" s="59"/>
      <c r="D153" s="59"/>
      <c r="E153" s="59"/>
      <c r="F153" s="59"/>
      <c r="G153" s="59"/>
      <c r="H153" s="59"/>
      <c r="I153" s="59"/>
      <c r="J153" s="42"/>
      <c r="K153" s="59"/>
      <c r="L153" s="59"/>
    </row>
    <row r="154" spans="1:12" ht="16.95" customHeight="1">
      <c r="A154" s="59">
        <v>300</v>
      </c>
      <c r="B154" s="39" t="s">
        <v>302</v>
      </c>
      <c r="C154" s="59" t="s">
        <v>105</v>
      </c>
      <c r="D154" s="59" t="s">
        <v>303</v>
      </c>
      <c r="E154" s="59" t="s">
        <v>228</v>
      </c>
      <c r="F154" s="59" t="s">
        <v>212</v>
      </c>
      <c r="G154" s="59"/>
      <c r="H154" s="59" t="s">
        <v>212</v>
      </c>
      <c r="I154" s="59"/>
      <c r="J154" s="59" t="s">
        <v>304</v>
      </c>
      <c r="K154" s="59" t="s">
        <v>305</v>
      </c>
      <c r="L154" s="59"/>
    </row>
    <row r="155" spans="1:12" ht="15.6">
      <c r="A155" s="59"/>
      <c r="B155" s="40" t="s">
        <v>306</v>
      </c>
      <c r="C155" s="59"/>
      <c r="D155" s="59"/>
      <c r="E155" s="59"/>
      <c r="F155" s="59"/>
      <c r="G155" s="59"/>
      <c r="H155" s="59"/>
      <c r="I155" s="59"/>
      <c r="J155" s="59"/>
      <c r="K155" s="59"/>
      <c r="L155" s="59"/>
    </row>
    <row r="156" spans="1:12" ht="15.6">
      <c r="A156" s="59"/>
      <c r="B156" s="40" t="s">
        <v>307</v>
      </c>
      <c r="C156" s="59"/>
      <c r="D156" s="59"/>
      <c r="E156" s="59"/>
      <c r="F156" s="59"/>
      <c r="G156" s="59"/>
      <c r="H156" s="59"/>
      <c r="I156" s="59"/>
      <c r="J156" s="59"/>
      <c r="K156" s="59"/>
      <c r="L156" s="59"/>
    </row>
    <row r="157" spans="1:12" ht="15.6">
      <c r="A157" s="59"/>
      <c r="B157" s="40" t="s">
        <v>308</v>
      </c>
      <c r="C157" s="59"/>
      <c r="D157" s="59"/>
      <c r="E157" s="59"/>
      <c r="F157" s="59"/>
      <c r="G157" s="59"/>
      <c r="H157" s="59"/>
      <c r="I157" s="59"/>
      <c r="J157" s="59"/>
      <c r="K157" s="59"/>
      <c r="L157" s="59"/>
    </row>
    <row r="158" spans="1:12" ht="16.95" customHeight="1">
      <c r="A158" s="59">
        <v>301</v>
      </c>
      <c r="B158" s="39" t="s">
        <v>302</v>
      </c>
      <c r="C158" s="59" t="s">
        <v>105</v>
      </c>
      <c r="D158" s="59" t="s">
        <v>303</v>
      </c>
      <c r="E158" s="59" t="s">
        <v>228</v>
      </c>
      <c r="F158" s="59" t="s">
        <v>212</v>
      </c>
      <c r="G158" s="59"/>
      <c r="H158" s="59" t="s">
        <v>212</v>
      </c>
      <c r="I158" s="59"/>
      <c r="J158" s="59" t="s">
        <v>304</v>
      </c>
      <c r="K158" s="59" t="s">
        <v>305</v>
      </c>
      <c r="L158" s="59"/>
    </row>
    <row r="159" spans="1:12" ht="15.6">
      <c r="A159" s="59"/>
      <c r="B159" s="40" t="s">
        <v>306</v>
      </c>
      <c r="C159" s="59"/>
      <c r="D159" s="59"/>
      <c r="E159" s="59"/>
      <c r="F159" s="59"/>
      <c r="G159" s="59"/>
      <c r="H159" s="59"/>
      <c r="I159" s="59"/>
      <c r="J159" s="59"/>
      <c r="K159" s="59"/>
      <c r="L159" s="59"/>
    </row>
    <row r="160" spans="1:12" ht="15.6">
      <c r="A160" s="59"/>
      <c r="B160" s="40" t="s">
        <v>307</v>
      </c>
      <c r="C160" s="59"/>
      <c r="D160" s="59"/>
      <c r="E160" s="59"/>
      <c r="F160" s="59"/>
      <c r="G160" s="59"/>
      <c r="H160" s="59"/>
      <c r="I160" s="59"/>
      <c r="J160" s="59"/>
      <c r="K160" s="59"/>
      <c r="L160" s="59"/>
    </row>
    <row r="161" spans="1:12" ht="15.6">
      <c r="A161" s="59"/>
      <c r="B161" s="40" t="s">
        <v>308</v>
      </c>
      <c r="C161" s="59"/>
      <c r="D161" s="59"/>
      <c r="E161" s="59"/>
      <c r="F161" s="59"/>
      <c r="G161" s="59"/>
      <c r="H161" s="59"/>
      <c r="I161" s="59"/>
      <c r="J161" s="59"/>
      <c r="K161" s="59"/>
      <c r="L161" s="59"/>
    </row>
    <row r="162" spans="1:12" ht="16.95" customHeight="1">
      <c r="A162" s="59">
        <v>302</v>
      </c>
      <c r="B162" s="39" t="s">
        <v>302</v>
      </c>
      <c r="C162" s="59" t="s">
        <v>105</v>
      </c>
      <c r="D162" s="59" t="s">
        <v>303</v>
      </c>
      <c r="E162" s="59" t="s">
        <v>228</v>
      </c>
      <c r="F162" s="59" t="s">
        <v>212</v>
      </c>
      <c r="G162" s="59"/>
      <c r="H162" s="59" t="s">
        <v>212</v>
      </c>
      <c r="I162" s="59"/>
      <c r="J162" s="59" t="s">
        <v>304</v>
      </c>
      <c r="K162" s="59" t="s">
        <v>305</v>
      </c>
      <c r="L162" s="59"/>
    </row>
    <row r="163" spans="1:12" ht="15.6">
      <c r="A163" s="59"/>
      <c r="B163" s="40" t="s">
        <v>306</v>
      </c>
      <c r="C163" s="59"/>
      <c r="D163" s="59"/>
      <c r="E163" s="59"/>
      <c r="F163" s="59"/>
      <c r="G163" s="59"/>
      <c r="H163" s="59"/>
      <c r="I163" s="59"/>
      <c r="J163" s="59"/>
      <c r="K163" s="59"/>
      <c r="L163" s="59"/>
    </row>
    <row r="164" spans="1:12" ht="15.6">
      <c r="A164" s="59"/>
      <c r="B164" s="40" t="s">
        <v>307</v>
      </c>
      <c r="C164" s="59"/>
      <c r="D164" s="59"/>
      <c r="E164" s="59"/>
      <c r="F164" s="59"/>
      <c r="G164" s="59"/>
      <c r="H164" s="59"/>
      <c r="I164" s="59"/>
      <c r="J164" s="59"/>
      <c r="K164" s="59"/>
      <c r="L164" s="59"/>
    </row>
    <row r="165" spans="1:12" ht="15.6">
      <c r="A165" s="59"/>
      <c r="B165" s="40" t="s">
        <v>308</v>
      </c>
      <c r="C165" s="59"/>
      <c r="D165" s="59"/>
      <c r="E165" s="59"/>
      <c r="F165" s="59"/>
      <c r="G165" s="59"/>
      <c r="H165" s="59"/>
      <c r="I165" s="59"/>
      <c r="J165" s="59"/>
      <c r="K165" s="59"/>
      <c r="L165" s="59"/>
    </row>
  </sheetData>
  <mergeCells count="165">
    <mergeCell ref="L154:L157"/>
    <mergeCell ref="L158:L161"/>
    <mergeCell ref="L162:L165"/>
    <mergeCell ref="L76:L84"/>
    <mergeCell ref="L85:L92"/>
    <mergeCell ref="L93:L100"/>
    <mergeCell ref="L101:L110"/>
    <mergeCell ref="L111:L119"/>
    <mergeCell ref="L120:L128"/>
    <mergeCell ref="L129:L136"/>
    <mergeCell ref="L137:L147"/>
    <mergeCell ref="L148:L153"/>
    <mergeCell ref="L3:L11"/>
    <mergeCell ref="L12:L19"/>
    <mergeCell ref="L20:L27"/>
    <mergeCell ref="L28:L37"/>
    <mergeCell ref="L38:L45"/>
    <mergeCell ref="L46:L54"/>
    <mergeCell ref="L55:L61"/>
    <mergeCell ref="L62:L71"/>
    <mergeCell ref="L72:L75"/>
    <mergeCell ref="I154:I157"/>
    <mergeCell ref="I158:I161"/>
    <mergeCell ref="I162:I165"/>
    <mergeCell ref="J154:J157"/>
    <mergeCell ref="J158:J161"/>
    <mergeCell ref="J162:J165"/>
    <mergeCell ref="K148:K153"/>
    <mergeCell ref="K154:K157"/>
    <mergeCell ref="K158:K161"/>
    <mergeCell ref="K162:K165"/>
    <mergeCell ref="I76:I84"/>
    <mergeCell ref="I85:I92"/>
    <mergeCell ref="I93:I100"/>
    <mergeCell ref="I101:I110"/>
    <mergeCell ref="I111:I119"/>
    <mergeCell ref="I120:I128"/>
    <mergeCell ref="I129:I136"/>
    <mergeCell ref="I137:I147"/>
    <mergeCell ref="I148:I153"/>
    <mergeCell ref="I3:I11"/>
    <mergeCell ref="I12:I19"/>
    <mergeCell ref="I20:I27"/>
    <mergeCell ref="I28:I37"/>
    <mergeCell ref="I38:I45"/>
    <mergeCell ref="I46:I54"/>
    <mergeCell ref="I55:I61"/>
    <mergeCell ref="I62:I71"/>
    <mergeCell ref="I72:I75"/>
    <mergeCell ref="G137:G147"/>
    <mergeCell ref="G148:G153"/>
    <mergeCell ref="G154:G157"/>
    <mergeCell ref="G158:G161"/>
    <mergeCell ref="G162:G165"/>
    <mergeCell ref="H72:H75"/>
    <mergeCell ref="H148:H153"/>
    <mergeCell ref="H154:H157"/>
    <mergeCell ref="H158:H161"/>
    <mergeCell ref="H162:H165"/>
    <mergeCell ref="E154:E157"/>
    <mergeCell ref="E158:E161"/>
    <mergeCell ref="E162:E165"/>
    <mergeCell ref="F72:F75"/>
    <mergeCell ref="F148:F153"/>
    <mergeCell ref="F154:F157"/>
    <mergeCell ref="F158:F161"/>
    <mergeCell ref="F162:F165"/>
    <mergeCell ref="G3:G11"/>
    <mergeCell ref="G12:G19"/>
    <mergeCell ref="G20:G27"/>
    <mergeCell ref="G28:G37"/>
    <mergeCell ref="G38:G45"/>
    <mergeCell ref="G46:G54"/>
    <mergeCell ref="G55:G61"/>
    <mergeCell ref="G62:G71"/>
    <mergeCell ref="G72:G75"/>
    <mergeCell ref="G76:G84"/>
    <mergeCell ref="G85:G92"/>
    <mergeCell ref="G93:G100"/>
    <mergeCell ref="G101:G110"/>
    <mergeCell ref="G111:G119"/>
    <mergeCell ref="G120:G128"/>
    <mergeCell ref="G129:G136"/>
    <mergeCell ref="E76:E84"/>
    <mergeCell ref="E85:E92"/>
    <mergeCell ref="E93:E100"/>
    <mergeCell ref="E101:E110"/>
    <mergeCell ref="E111:E119"/>
    <mergeCell ref="E120:E128"/>
    <mergeCell ref="E129:E136"/>
    <mergeCell ref="E137:E147"/>
    <mergeCell ref="E148:E153"/>
    <mergeCell ref="E3:E11"/>
    <mergeCell ref="E12:E19"/>
    <mergeCell ref="E20:E27"/>
    <mergeCell ref="E28:E37"/>
    <mergeCell ref="E38:E45"/>
    <mergeCell ref="E46:E54"/>
    <mergeCell ref="E55:E61"/>
    <mergeCell ref="E62:E71"/>
    <mergeCell ref="E72:E75"/>
    <mergeCell ref="C162:C165"/>
    <mergeCell ref="D3:D11"/>
    <mergeCell ref="D12:D19"/>
    <mergeCell ref="D20:D27"/>
    <mergeCell ref="D28:D37"/>
    <mergeCell ref="D38:D45"/>
    <mergeCell ref="D46:D54"/>
    <mergeCell ref="D55:D61"/>
    <mergeCell ref="D62:D71"/>
    <mergeCell ref="D72:D75"/>
    <mergeCell ref="D76:D84"/>
    <mergeCell ref="D85:D92"/>
    <mergeCell ref="D93:D100"/>
    <mergeCell ref="D101:D110"/>
    <mergeCell ref="D111:D119"/>
    <mergeCell ref="D120:D128"/>
    <mergeCell ref="D129:D136"/>
    <mergeCell ref="D137:D147"/>
    <mergeCell ref="D148:D153"/>
    <mergeCell ref="D154:D157"/>
    <mergeCell ref="D158:D161"/>
    <mergeCell ref="D162:D165"/>
    <mergeCell ref="A154:A157"/>
    <mergeCell ref="A158:A161"/>
    <mergeCell ref="A162:A165"/>
    <mergeCell ref="B72:B75"/>
    <mergeCell ref="C3:C11"/>
    <mergeCell ref="C12:C19"/>
    <mergeCell ref="C20:C27"/>
    <mergeCell ref="C28:C37"/>
    <mergeCell ref="C38:C45"/>
    <mergeCell ref="C46:C54"/>
    <mergeCell ref="C55:C61"/>
    <mergeCell ref="C62:C71"/>
    <mergeCell ref="C72:C75"/>
    <mergeCell ref="C76:C84"/>
    <mergeCell ref="C85:C92"/>
    <mergeCell ref="C93:C100"/>
    <mergeCell ref="C101:C110"/>
    <mergeCell ref="C111:C119"/>
    <mergeCell ref="C120:C128"/>
    <mergeCell ref="C129:C136"/>
    <mergeCell ref="C137:C147"/>
    <mergeCell ref="C148:C153"/>
    <mergeCell ref="C154:C157"/>
    <mergeCell ref="C158:C161"/>
    <mergeCell ref="A76:A84"/>
    <mergeCell ref="A85:A92"/>
    <mergeCell ref="A93:A100"/>
    <mergeCell ref="A101:A110"/>
    <mergeCell ref="A111:A119"/>
    <mergeCell ref="A120:A128"/>
    <mergeCell ref="A129:A136"/>
    <mergeCell ref="A137:A147"/>
    <mergeCell ref="A148:A153"/>
    <mergeCell ref="A3:A11"/>
    <mergeCell ref="A12:A19"/>
    <mergeCell ref="A20:A27"/>
    <mergeCell ref="A28:A37"/>
    <mergeCell ref="A38:A45"/>
    <mergeCell ref="A46:A54"/>
    <mergeCell ref="A55:A61"/>
    <mergeCell ref="A62:A71"/>
    <mergeCell ref="A72:A75"/>
  </mergeCells>
  <hyperlinks>
    <hyperlink ref="G3" r:id="rId1" tooltip="https://drive.google.com/drive/folders/1LQkRtaHRPpFkUFvGzfAIvXs01pTZ08kE?usp=sharing" xr:uid="{00000000-0004-0000-0400-000000000000}"/>
    <hyperlink ref="I3" r:id="rId2" tooltip="https://drive.google.com/drive/folders/1DKb-YXjB2LRY0yP_5cWYOZT0MWPW79Tg?usp=sharing" xr:uid="{00000000-0004-0000-0400-000001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0"/>
  <sheetViews>
    <sheetView topLeftCell="A18" zoomScale="77" zoomScaleNormal="77" workbookViewId="0">
      <selection activeCell="A30" sqref="A1:XFD30"/>
    </sheetView>
  </sheetViews>
  <sheetFormatPr defaultColWidth="59.09765625" defaultRowHeight="13.8"/>
  <cols>
    <col min="1" max="1" width="19.5" style="37" customWidth="1"/>
    <col min="2" max="2" width="11.5" style="37" customWidth="1"/>
    <col min="3" max="3" width="4.8984375" style="37" customWidth="1"/>
    <col min="4" max="4" width="7.69921875" style="37" customWidth="1"/>
    <col min="5" max="5" width="20" style="37" customWidth="1"/>
    <col min="6" max="6" width="14.69921875" style="37" customWidth="1"/>
    <col min="7" max="7" width="12.19921875" style="37" customWidth="1"/>
    <col min="8" max="8" width="34" style="37" customWidth="1"/>
    <col min="9" max="9" width="12.8984375" style="37" customWidth="1"/>
    <col min="10" max="10" width="67.796875" style="37" customWidth="1"/>
    <col min="11" max="11" width="86.5" style="37" customWidth="1"/>
    <col min="12" max="12" width="113.19921875" style="37" customWidth="1"/>
    <col min="13" max="16353" width="59.09765625" style="37" customWidth="1"/>
    <col min="16354" max="16384" width="59.09765625" style="37"/>
  </cols>
  <sheetData>
    <row r="1" spans="1:12" ht="31.05" customHeight="1">
      <c r="A1" s="38" t="s">
        <v>309</v>
      </c>
      <c r="B1" s="38" t="s">
        <v>310</v>
      </c>
      <c r="C1" s="38" t="s">
        <v>311</v>
      </c>
      <c r="D1" s="38" t="s">
        <v>312</v>
      </c>
      <c r="E1" s="38" t="s">
        <v>313</v>
      </c>
      <c r="F1" s="38" t="s">
        <v>314</v>
      </c>
      <c r="G1" s="38" t="s">
        <v>315</v>
      </c>
      <c r="H1" s="38" t="s">
        <v>316</v>
      </c>
      <c r="I1" s="38" t="s">
        <v>317</v>
      </c>
      <c r="J1" s="38" t="s">
        <v>318</v>
      </c>
      <c r="K1" s="38" t="s">
        <v>319</v>
      </c>
      <c r="L1" s="38" t="s">
        <v>61</v>
      </c>
    </row>
    <row r="2" spans="1:12" ht="15.6">
      <c r="A2" s="39" t="s">
        <v>212</v>
      </c>
      <c r="B2" s="39" t="s">
        <v>320</v>
      </c>
      <c r="C2" s="39">
        <v>2</v>
      </c>
      <c r="D2" s="39" t="s">
        <v>321</v>
      </c>
      <c r="E2" s="39"/>
      <c r="F2" s="39"/>
      <c r="G2" s="39"/>
      <c r="H2" s="39"/>
      <c r="I2" s="39"/>
      <c r="J2" s="39"/>
      <c r="K2" s="39"/>
      <c r="L2" s="39"/>
    </row>
    <row r="3" spans="1:12" ht="15.6">
      <c r="A3" s="39" t="s">
        <v>322</v>
      </c>
      <c r="B3" s="39" t="s">
        <v>320</v>
      </c>
      <c r="C3" s="39">
        <v>1</v>
      </c>
      <c r="D3" s="39" t="s">
        <v>323</v>
      </c>
      <c r="E3" s="39">
        <v>10</v>
      </c>
      <c r="F3" s="39"/>
      <c r="G3" s="39" t="s">
        <v>303</v>
      </c>
      <c r="H3" s="39" t="s">
        <v>324</v>
      </c>
      <c r="I3" s="39"/>
      <c r="J3" s="39"/>
      <c r="K3" s="39" t="s">
        <v>325</v>
      </c>
      <c r="L3" s="39"/>
    </row>
    <row r="4" spans="1:12" ht="15.6">
      <c r="A4" s="59" t="s">
        <v>326</v>
      </c>
      <c r="B4" s="59" t="s">
        <v>320</v>
      </c>
      <c r="C4" s="59">
        <v>1</v>
      </c>
      <c r="D4" s="59" t="s">
        <v>327</v>
      </c>
      <c r="E4" s="59"/>
      <c r="F4" s="59"/>
      <c r="G4" s="59"/>
      <c r="H4" s="59"/>
      <c r="I4" s="59"/>
      <c r="J4" s="59" t="s">
        <v>328</v>
      </c>
      <c r="K4" s="39" t="s">
        <v>329</v>
      </c>
      <c r="L4" s="59"/>
    </row>
    <row r="5" spans="1:12" ht="15.6">
      <c r="A5" s="59"/>
      <c r="B5" s="59"/>
      <c r="C5" s="59"/>
      <c r="D5" s="59"/>
      <c r="E5" s="59"/>
      <c r="F5" s="59"/>
      <c r="G5" s="59"/>
      <c r="H5" s="59"/>
      <c r="I5" s="59"/>
      <c r="J5" s="59"/>
      <c r="K5" s="40" t="s">
        <v>330</v>
      </c>
      <c r="L5" s="59"/>
    </row>
    <row r="6" spans="1:12" ht="15.6">
      <c r="A6" s="59" t="s">
        <v>331</v>
      </c>
      <c r="B6" s="59" t="s">
        <v>320</v>
      </c>
      <c r="C6" s="59">
        <v>1</v>
      </c>
      <c r="D6" s="59" t="s">
        <v>327</v>
      </c>
      <c r="E6" s="59"/>
      <c r="F6" s="59"/>
      <c r="G6" s="59"/>
      <c r="H6" s="59"/>
      <c r="I6" s="59"/>
      <c r="J6" s="59" t="s">
        <v>328</v>
      </c>
      <c r="K6" s="39" t="s">
        <v>329</v>
      </c>
      <c r="L6" s="59"/>
    </row>
    <row r="7" spans="1:12" ht="15.6">
      <c r="A7" s="59"/>
      <c r="B7" s="59"/>
      <c r="C7" s="59"/>
      <c r="D7" s="59"/>
      <c r="E7" s="59"/>
      <c r="F7" s="59"/>
      <c r="G7" s="59"/>
      <c r="H7" s="59"/>
      <c r="I7" s="59"/>
      <c r="J7" s="59"/>
      <c r="K7" s="40" t="s">
        <v>330</v>
      </c>
      <c r="L7" s="59"/>
    </row>
    <row r="8" spans="1:12" ht="15.6">
      <c r="A8" s="39" t="s">
        <v>332</v>
      </c>
      <c r="B8" s="39" t="s">
        <v>320</v>
      </c>
      <c r="C8" s="39">
        <v>4</v>
      </c>
      <c r="D8" s="39" t="s">
        <v>321</v>
      </c>
      <c r="E8" s="39"/>
      <c r="F8" s="39"/>
      <c r="G8" s="39"/>
      <c r="H8" s="39"/>
      <c r="I8" s="39"/>
      <c r="J8" s="39"/>
      <c r="K8" s="39"/>
      <c r="L8" s="39"/>
    </row>
    <row r="9" spans="1:12" ht="15.6">
      <c r="A9" s="39" t="s">
        <v>333</v>
      </c>
      <c r="B9" s="39" t="s">
        <v>320</v>
      </c>
      <c r="C9" s="39">
        <v>1</v>
      </c>
      <c r="D9" s="39" t="s">
        <v>334</v>
      </c>
      <c r="E9" s="39"/>
      <c r="F9" s="39"/>
      <c r="G9" s="39" t="s">
        <v>335</v>
      </c>
      <c r="H9" s="39" t="s">
        <v>336</v>
      </c>
      <c r="I9" s="39" t="s">
        <v>337</v>
      </c>
      <c r="J9" s="39" t="s">
        <v>338</v>
      </c>
      <c r="K9" s="39" t="s">
        <v>339</v>
      </c>
      <c r="L9" s="39"/>
    </row>
    <row r="10" spans="1:12" ht="15.6">
      <c r="A10" s="39" t="s">
        <v>340</v>
      </c>
      <c r="B10" s="39" t="s">
        <v>320</v>
      </c>
      <c r="C10" s="39">
        <v>1</v>
      </c>
      <c r="D10" s="39" t="s">
        <v>334</v>
      </c>
      <c r="E10" s="39"/>
      <c r="F10" s="39"/>
      <c r="G10" s="39" t="s">
        <v>341</v>
      </c>
      <c r="H10" s="39" t="s">
        <v>336</v>
      </c>
      <c r="I10" s="39" t="s">
        <v>337</v>
      </c>
      <c r="J10" s="39" t="s">
        <v>342</v>
      </c>
      <c r="K10" s="39" t="s">
        <v>339</v>
      </c>
      <c r="L10" s="39"/>
    </row>
    <row r="11" spans="1:12" ht="15.6">
      <c r="A11" s="39" t="s">
        <v>343</v>
      </c>
      <c r="B11" s="39" t="s">
        <v>320</v>
      </c>
      <c r="C11" s="39">
        <v>1</v>
      </c>
      <c r="D11" s="39" t="s">
        <v>334</v>
      </c>
      <c r="E11" s="39"/>
      <c r="F11" s="39"/>
      <c r="G11" s="39" t="s">
        <v>344</v>
      </c>
      <c r="H11" s="39" t="s">
        <v>336</v>
      </c>
      <c r="I11" s="39" t="s">
        <v>337</v>
      </c>
      <c r="J11" s="39" t="s">
        <v>345</v>
      </c>
      <c r="K11" s="39" t="s">
        <v>339</v>
      </c>
      <c r="L11" s="39"/>
    </row>
    <row r="12" spans="1:12" ht="15.6">
      <c r="A12" s="39" t="s">
        <v>346</v>
      </c>
      <c r="B12" s="39" t="s">
        <v>320</v>
      </c>
      <c r="C12" s="39">
        <v>1</v>
      </c>
      <c r="D12" s="39" t="s">
        <v>334</v>
      </c>
      <c r="E12" s="39"/>
      <c r="F12" s="39"/>
      <c r="G12" s="39" t="s">
        <v>347</v>
      </c>
      <c r="H12" s="39" t="s">
        <v>336</v>
      </c>
      <c r="I12" s="39" t="s">
        <v>337</v>
      </c>
      <c r="J12" s="39" t="s">
        <v>348</v>
      </c>
      <c r="K12" s="39" t="s">
        <v>339</v>
      </c>
      <c r="L12" s="39"/>
    </row>
    <row r="13" spans="1:12" ht="15.6">
      <c r="A13" s="39" t="s">
        <v>349</v>
      </c>
      <c r="B13" s="39" t="s">
        <v>320</v>
      </c>
      <c r="C13" s="39">
        <v>4</v>
      </c>
      <c r="D13" s="39" t="s">
        <v>321</v>
      </c>
      <c r="E13" s="39"/>
      <c r="F13" s="39"/>
      <c r="G13" s="39"/>
      <c r="H13" s="39"/>
      <c r="I13" s="39"/>
      <c r="J13" s="39"/>
      <c r="K13" s="39"/>
      <c r="L13" s="39"/>
    </row>
    <row r="14" spans="1:12" ht="15.6">
      <c r="A14" s="39" t="s">
        <v>350</v>
      </c>
      <c r="B14" s="39" t="s">
        <v>320</v>
      </c>
      <c r="C14" s="39">
        <v>1</v>
      </c>
      <c r="D14" s="39" t="s">
        <v>334</v>
      </c>
      <c r="E14" s="39"/>
      <c r="F14" s="39" t="s">
        <v>351</v>
      </c>
      <c r="G14" s="39" t="s">
        <v>335</v>
      </c>
      <c r="H14" s="39" t="s">
        <v>324</v>
      </c>
      <c r="I14" s="39">
        <v>15</v>
      </c>
      <c r="J14" s="39" t="s">
        <v>352</v>
      </c>
      <c r="K14" s="39" t="s">
        <v>353</v>
      </c>
      <c r="L14" s="39" t="s">
        <v>354</v>
      </c>
    </row>
    <row r="15" spans="1:12" ht="15.6">
      <c r="A15" s="39" t="s">
        <v>355</v>
      </c>
      <c r="B15" s="39" t="s">
        <v>320</v>
      </c>
      <c r="C15" s="39">
        <v>1</v>
      </c>
      <c r="D15" s="39" t="s">
        <v>334</v>
      </c>
      <c r="E15" s="39"/>
      <c r="F15" s="39" t="s">
        <v>351</v>
      </c>
      <c r="G15" s="39" t="s">
        <v>341</v>
      </c>
      <c r="H15" s="39" t="s">
        <v>324</v>
      </c>
      <c r="I15" s="39">
        <v>15</v>
      </c>
      <c r="J15" s="39" t="s">
        <v>356</v>
      </c>
      <c r="K15" s="39" t="s">
        <v>353</v>
      </c>
      <c r="L15" s="39" t="s">
        <v>354</v>
      </c>
    </row>
    <row r="16" spans="1:12" ht="15.6">
      <c r="A16" s="39" t="s">
        <v>357</v>
      </c>
      <c r="B16" s="39" t="s">
        <v>320</v>
      </c>
      <c r="C16" s="39">
        <v>1</v>
      </c>
      <c r="D16" s="39" t="s">
        <v>334</v>
      </c>
      <c r="E16" s="39"/>
      <c r="F16" s="39" t="s">
        <v>351</v>
      </c>
      <c r="G16" s="39" t="s">
        <v>358</v>
      </c>
      <c r="H16" s="39" t="s">
        <v>324</v>
      </c>
      <c r="I16" s="39">
        <v>15</v>
      </c>
      <c r="J16" s="39" t="s">
        <v>359</v>
      </c>
      <c r="K16" s="39" t="s">
        <v>353</v>
      </c>
      <c r="L16" s="39" t="s">
        <v>354</v>
      </c>
    </row>
    <row r="17" spans="1:12" ht="15.6">
      <c r="A17" s="39" t="s">
        <v>360</v>
      </c>
      <c r="B17" s="39" t="s">
        <v>320</v>
      </c>
      <c r="C17" s="39">
        <v>1</v>
      </c>
      <c r="D17" s="39" t="s">
        <v>334</v>
      </c>
      <c r="E17" s="39"/>
      <c r="F17" s="39" t="s">
        <v>351</v>
      </c>
      <c r="G17" s="39" t="s">
        <v>347</v>
      </c>
      <c r="H17" s="39" t="s">
        <v>324</v>
      </c>
      <c r="I17" s="39">
        <v>15</v>
      </c>
      <c r="J17" s="39" t="s">
        <v>361</v>
      </c>
      <c r="K17" s="39" t="s">
        <v>353</v>
      </c>
      <c r="L17" s="39" t="s">
        <v>354</v>
      </c>
    </row>
    <row r="18" spans="1:12" ht="15.6">
      <c r="A18" s="59" t="s">
        <v>362</v>
      </c>
      <c r="B18" s="59" t="s">
        <v>363</v>
      </c>
      <c r="C18" s="59">
        <v>1</v>
      </c>
      <c r="D18" s="59" t="s">
        <v>364</v>
      </c>
      <c r="E18" s="59">
        <v>5</v>
      </c>
      <c r="F18" s="59" t="s">
        <v>365</v>
      </c>
      <c r="G18" s="59" t="s">
        <v>303</v>
      </c>
      <c r="H18" s="59" t="s">
        <v>366</v>
      </c>
      <c r="I18" s="59" t="s">
        <v>212</v>
      </c>
      <c r="J18" s="59" t="s">
        <v>367</v>
      </c>
      <c r="K18" s="39" t="s">
        <v>368</v>
      </c>
      <c r="L18" s="59" t="s">
        <v>369</v>
      </c>
    </row>
    <row r="19" spans="1:12" ht="31.2">
      <c r="A19" s="59"/>
      <c r="B19" s="59"/>
      <c r="C19" s="59"/>
      <c r="D19" s="59"/>
      <c r="E19" s="59"/>
      <c r="F19" s="59"/>
      <c r="G19" s="59"/>
      <c r="H19" s="59"/>
      <c r="I19" s="59"/>
      <c r="J19" s="59"/>
      <c r="K19" s="40" t="s">
        <v>370</v>
      </c>
      <c r="L19" s="59"/>
    </row>
    <row r="20" spans="1:12" ht="15.6">
      <c r="A20" s="59"/>
      <c r="B20" s="59"/>
      <c r="C20" s="59"/>
      <c r="D20" s="59"/>
      <c r="E20" s="59"/>
      <c r="F20" s="59"/>
      <c r="G20" s="59"/>
      <c r="H20" s="59"/>
      <c r="I20" s="59"/>
      <c r="J20" s="59"/>
      <c r="K20" s="40" t="s">
        <v>371</v>
      </c>
      <c r="L20" s="59"/>
    </row>
  </sheetData>
  <mergeCells count="33">
    <mergeCell ref="L4:L5"/>
    <mergeCell ref="L6:L7"/>
    <mergeCell ref="L18:L20"/>
    <mergeCell ref="I4:I5"/>
    <mergeCell ref="I6:I7"/>
    <mergeCell ref="I18:I20"/>
    <mergeCell ref="J4:J5"/>
    <mergeCell ref="J6:J7"/>
    <mergeCell ref="J18:J20"/>
    <mergeCell ref="G4:G5"/>
    <mergeCell ref="G6:G7"/>
    <mergeCell ref="G18:G20"/>
    <mergeCell ref="H4:H5"/>
    <mergeCell ref="H6:H7"/>
    <mergeCell ref="H18:H20"/>
    <mergeCell ref="E4:E5"/>
    <mergeCell ref="E6:E7"/>
    <mergeCell ref="E18:E20"/>
    <mergeCell ref="F4:F5"/>
    <mergeCell ref="F6:F7"/>
    <mergeCell ref="F18:F20"/>
    <mergeCell ref="C4:C5"/>
    <mergeCell ref="C6:C7"/>
    <mergeCell ref="C18:C20"/>
    <mergeCell ref="D4:D5"/>
    <mergeCell ref="D6:D7"/>
    <mergeCell ref="D18:D20"/>
    <mergeCell ref="A4:A5"/>
    <mergeCell ref="A6:A7"/>
    <mergeCell ref="A18:A20"/>
    <mergeCell ref="B4:B5"/>
    <mergeCell ref="B6:B7"/>
    <mergeCell ref="B18:B20"/>
  </mergeCells>
  <pageMargins left="0.75" right="0.75" top="1" bottom="1" header="0.5" footer="0.5"/>
  <pageSetup orientation="landscape" useFirstPageNumber="1" horizontalDpi="300" verticalDpi="300"/>
  <headerFooter>
    <oddFooter>&amp;L&amp;F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L51"/>
  <sheetViews>
    <sheetView topLeftCell="A28" zoomScale="85" zoomScaleNormal="85" workbookViewId="0">
      <selection activeCell="L33" sqref="L33"/>
    </sheetView>
  </sheetViews>
  <sheetFormatPr defaultColWidth="14.796875" defaultRowHeight="13.8"/>
  <cols>
    <col min="1" max="1" width="3.5" style="2" customWidth="1"/>
    <col min="2" max="2" width="10.296875" style="12" customWidth="1"/>
    <col min="3" max="3" width="10.69921875" style="13" customWidth="1"/>
    <col min="4" max="4" width="7.5" style="2" customWidth="1"/>
    <col min="5" max="5" width="14.19921875" style="2" customWidth="1"/>
    <col min="6" max="6" width="10.796875" style="2" customWidth="1"/>
    <col min="7" max="7" width="10.5" style="14" customWidth="1"/>
    <col min="8" max="8" width="10.8984375" style="2" customWidth="1"/>
    <col min="9" max="9" width="15.59765625" style="2" customWidth="1"/>
    <col min="10" max="10" width="11.3984375" style="12" customWidth="1"/>
    <col min="11" max="11" width="20" style="2" customWidth="1"/>
    <col min="12" max="12" width="14.796875" style="2" customWidth="1"/>
    <col min="13" max="16384" width="14.796875" style="2"/>
  </cols>
  <sheetData>
    <row r="1" spans="1:12" s="11" customFormat="1" ht="13.2">
      <c r="B1" s="11">
        <v>2</v>
      </c>
      <c r="C1" s="15">
        <v>3</v>
      </c>
      <c r="D1" s="11">
        <v>4</v>
      </c>
      <c r="E1" s="11">
        <v>5</v>
      </c>
      <c r="F1" s="11">
        <v>6</v>
      </c>
      <c r="G1" s="11">
        <v>7</v>
      </c>
      <c r="H1" s="11">
        <v>8</v>
      </c>
      <c r="I1" s="11">
        <v>9</v>
      </c>
      <c r="J1" s="11">
        <v>10</v>
      </c>
      <c r="K1" s="11">
        <v>11</v>
      </c>
    </row>
    <row r="2" spans="1:12" ht="14.4">
      <c r="A2" s="16" t="s">
        <v>372</v>
      </c>
      <c r="B2" s="17" t="s">
        <v>373</v>
      </c>
      <c r="C2" s="18" t="s">
        <v>374</v>
      </c>
      <c r="D2" s="16" t="s">
        <v>375</v>
      </c>
      <c r="E2" s="16" t="s">
        <v>376</v>
      </c>
      <c r="F2" s="16" t="s">
        <v>377</v>
      </c>
      <c r="G2" s="16" t="s">
        <v>378</v>
      </c>
      <c r="H2" s="16" t="s">
        <v>379</v>
      </c>
      <c r="I2" s="16" t="s">
        <v>380</v>
      </c>
      <c r="J2" s="29" t="s">
        <v>381</v>
      </c>
      <c r="K2" s="30" t="s">
        <v>382</v>
      </c>
      <c r="L2" s="31"/>
    </row>
    <row r="3" spans="1:12" ht="14.4">
      <c r="A3" s="19">
        <v>1</v>
      </c>
      <c r="B3" s="20">
        <f>IFERROR(VLOOKUP($A3,'Lịch AP'!$A:$J,B$1,0),"")</f>
        <v>45965</v>
      </c>
      <c r="C3" s="21">
        <f>IFERROR(VLOOKUP($A3,'Lịch AP'!$A:$J,C$1,0),"")</f>
        <v>1</v>
      </c>
      <c r="D3" s="20" t="str">
        <f>IFERROR(VLOOKUP($A3,'Lịch AP'!$A:$J,D$1,0),"")</f>
        <v>PMQT</v>
      </c>
      <c r="E3" s="20" t="str">
        <f>IFERROR(VLOOKUP($A3,'Lịch AP'!$A:$J,E$1,0),"")</f>
        <v>T1006 (Nha T)</v>
      </c>
      <c r="F3" s="20" t="str">
        <f>IFERROR(VLOOKUP($A3,'Lịch AP'!$A:$J,F$1,0),"")</f>
        <v>SD21301</v>
      </c>
      <c r="G3" s="20" t="str">
        <f>IFERROR(VLOOKUP($A3,'Lịch AP'!$A:$J,G$1,0),"")</f>
        <v>baytt</v>
      </c>
      <c r="H3" s="20" t="str">
        <f>IFERROR(VLOOKUP($A3,'Lịch AP'!$A:$J,H$1,0),"")</f>
        <v>COM108</v>
      </c>
      <c r="I3" s="20" t="str">
        <f>IFERROR(VLOOKUP($A3,'Lịch AP'!$A:$J,I$1,0),"")</f>
        <v>Nhập môn lập trình</v>
      </c>
      <c r="J3" s="32"/>
      <c r="K3" s="19"/>
      <c r="L3" s="22"/>
    </row>
    <row r="4" spans="1:12" ht="14.4">
      <c r="A4" s="19">
        <v>2</v>
      </c>
      <c r="B4" s="20">
        <f>IFERROR(VLOOKUP($A4,'Lịch AP'!$A:$J,B$1,0),"")</f>
        <v>45967</v>
      </c>
      <c r="C4" s="21">
        <f>IFERROR(VLOOKUP($A4,'Lịch AP'!$A:$J,C$1,0),"")</f>
        <v>1</v>
      </c>
      <c r="D4" s="20" t="str">
        <f>IFERROR(VLOOKUP($A4,'Lịch AP'!$A:$J,D$1,0),"")</f>
        <v>PMQT</v>
      </c>
      <c r="E4" s="20" t="str">
        <f>IFERROR(VLOOKUP($A4,'Lịch AP'!$A:$J,E$1,0),"")</f>
        <v>T1006 (Nha T)</v>
      </c>
      <c r="F4" s="20" t="str">
        <f>IFERROR(VLOOKUP($A4,'Lịch AP'!$A:$J,F$1,0),"")</f>
        <v>SD21301</v>
      </c>
      <c r="G4" s="20" t="str">
        <f>IFERROR(VLOOKUP($A4,'Lịch AP'!$A:$J,G$1,0),"")</f>
        <v>baytt</v>
      </c>
      <c r="H4" s="20" t="str">
        <f>IFERROR(VLOOKUP($A4,'Lịch AP'!$A:$J,H$1,0),"")</f>
        <v>COM108</v>
      </c>
      <c r="I4" s="20" t="str">
        <f>IFERROR(VLOOKUP($A4,'Lịch AP'!$A:$J,I$1,0),"")</f>
        <v>Nhập môn lập trình</v>
      </c>
      <c r="J4" s="32"/>
      <c r="K4" s="19"/>
      <c r="L4" s="22"/>
    </row>
    <row r="5" spans="1:12" ht="14.4">
      <c r="A5" s="19"/>
      <c r="B5" s="20" t="str">
        <f>IFERROR(VLOOKUP($A5,'Lịch AP'!$A:$J,B$1,0),"")</f>
        <v/>
      </c>
      <c r="C5" s="21" t="str">
        <f>IFERROR(VLOOKUP($A5,'Lịch AP'!$A:$J,C$1,0),"")</f>
        <v/>
      </c>
      <c r="D5" s="20" t="str">
        <f>IFERROR(VLOOKUP($A5,'Lịch AP'!$A:$J,D$1,0),"")</f>
        <v/>
      </c>
      <c r="E5" s="20" t="str">
        <f>IFERROR(VLOOKUP($A5,'Lịch AP'!$A:$J,E$1,0),"")</f>
        <v/>
      </c>
      <c r="F5" s="20" t="str">
        <f>IFERROR(VLOOKUP($A5,'Lịch AP'!$A:$J,F$1,0),"")</f>
        <v/>
      </c>
      <c r="G5" s="20" t="str">
        <f>IFERROR(VLOOKUP($A5,'Lịch AP'!$A:$J,G$1,0),"")</f>
        <v/>
      </c>
      <c r="H5" s="20" t="str">
        <f>IFERROR(VLOOKUP($A5,'Lịch AP'!$A:$J,H$1,0),"")</f>
        <v/>
      </c>
      <c r="I5" s="20" t="str">
        <f>IFERROR(VLOOKUP($A5,'Lịch AP'!$A:$J,I$1,0),"")</f>
        <v/>
      </c>
      <c r="J5" s="32">
        <f>B7-1</f>
        <v>45968</v>
      </c>
      <c r="K5" s="19" t="s">
        <v>383</v>
      </c>
      <c r="L5" s="22"/>
    </row>
    <row r="6" spans="1:12" ht="14.4">
      <c r="A6" s="19"/>
      <c r="B6" s="20" t="str">
        <f>IFERROR(VLOOKUP($A6,'Lịch AP'!$A:$J,B$1,0),"")</f>
        <v/>
      </c>
      <c r="C6" s="21" t="str">
        <f>IFERROR(VLOOKUP($A6,'Lịch AP'!$A:$J,C$1,0),"")</f>
        <v/>
      </c>
      <c r="D6" s="20" t="str">
        <f>IFERROR(VLOOKUP($A6,'Lịch AP'!$A:$J,D$1,0),"")</f>
        <v/>
      </c>
      <c r="E6" s="20" t="str">
        <f>IFERROR(VLOOKUP($A6,'Lịch AP'!$A:$J,E$1,0),"")</f>
        <v/>
      </c>
      <c r="F6" s="20" t="str">
        <f>IFERROR(VLOOKUP($A6,'Lịch AP'!$A:$J,F$1,0),"")</f>
        <v/>
      </c>
      <c r="G6" s="20" t="str">
        <f>IFERROR(VLOOKUP($A6,'Lịch AP'!$A:$J,G$1,0),"")</f>
        <v/>
      </c>
      <c r="H6" s="20" t="str">
        <f>IFERROR(VLOOKUP($A6,'Lịch AP'!$A:$J,H$1,0),"")</f>
        <v/>
      </c>
      <c r="I6" s="20" t="str">
        <f>IFERROR(VLOOKUP($A6,'Lịch AP'!$A:$J,I$1,0),"")</f>
        <v/>
      </c>
      <c r="J6" s="32"/>
      <c r="K6" s="19"/>
      <c r="L6" s="22"/>
    </row>
    <row r="7" spans="1:12" ht="14.4">
      <c r="A7" s="19">
        <v>3</v>
      </c>
      <c r="B7" s="20">
        <f>IFERROR(VLOOKUP($A7,'Lịch AP'!$A:$J,B$1,0),"")</f>
        <v>45969</v>
      </c>
      <c r="C7" s="21">
        <f>IFERROR(VLOOKUP($A7,'Lịch AP'!$A:$J,C$1,0),"")</f>
        <v>1</v>
      </c>
      <c r="D7" s="20" t="str">
        <f>IFERROR(VLOOKUP($A7,'Lịch AP'!$A:$J,D$1,0),"")</f>
        <v>PMQT</v>
      </c>
      <c r="E7" s="20" t="str">
        <f>IFERROR(VLOOKUP($A7,'Lịch AP'!$A:$J,E$1,0),"")</f>
        <v>T1006 (Nha T)</v>
      </c>
      <c r="F7" s="20" t="str">
        <f>IFERROR(VLOOKUP($A7,'Lịch AP'!$A:$J,F$1,0),"")</f>
        <v>SD21301</v>
      </c>
      <c r="G7" s="20" t="str">
        <f>IFERROR(VLOOKUP($A7,'Lịch AP'!$A:$J,G$1,0),"")</f>
        <v>baytt</v>
      </c>
      <c r="H7" s="20" t="str">
        <f>IFERROR(VLOOKUP($A7,'Lịch AP'!$A:$J,H$1,0),"")</f>
        <v>COM108</v>
      </c>
      <c r="I7" s="20" t="str">
        <f>IFERROR(VLOOKUP($A7,'Lịch AP'!$A:$J,I$1,0),"")</f>
        <v>Nhập môn lập trình</v>
      </c>
      <c r="J7" s="32"/>
      <c r="K7" s="19"/>
      <c r="L7" s="22"/>
    </row>
    <row r="8" spans="1:12" ht="14.4">
      <c r="A8" s="19">
        <v>4</v>
      </c>
      <c r="B8" s="20">
        <f>IFERROR(VLOOKUP($A8,'Lịch AP'!$A:$J,B$1,0),"")</f>
        <v>45972</v>
      </c>
      <c r="C8" s="21">
        <f>IFERROR(VLOOKUP($A8,'Lịch AP'!$A:$J,C$1,0),"")</f>
        <v>1</v>
      </c>
      <c r="D8" s="20" t="str">
        <f>IFERROR(VLOOKUP($A8,'Lịch AP'!$A:$J,D$1,0),"")</f>
        <v>PMQT</v>
      </c>
      <c r="E8" s="20" t="str">
        <f>IFERROR(VLOOKUP($A8,'Lịch AP'!$A:$J,E$1,0),"")</f>
        <v>T1006 (Nha T)</v>
      </c>
      <c r="F8" s="20" t="str">
        <f>IFERROR(VLOOKUP($A8,'Lịch AP'!$A:$J,F$1,0),"")</f>
        <v>SD21301</v>
      </c>
      <c r="G8" s="20" t="str">
        <f>IFERROR(VLOOKUP($A8,'Lịch AP'!$A:$J,G$1,0),"")</f>
        <v>baytt</v>
      </c>
      <c r="H8" s="20" t="str">
        <f>IFERROR(VLOOKUP($A8,'Lịch AP'!$A:$J,H$1,0),"")</f>
        <v>COM108</v>
      </c>
      <c r="I8" s="20" t="str">
        <f>IFERROR(VLOOKUP($A8,'Lịch AP'!$A:$J,I$1,0),"")</f>
        <v>Nhập môn lập trình</v>
      </c>
      <c r="J8" s="32"/>
      <c r="K8" s="19"/>
      <c r="L8" s="22"/>
    </row>
    <row r="9" spans="1:12" ht="14.4">
      <c r="A9" s="19"/>
      <c r="B9" s="20" t="str">
        <f>IFERROR(VLOOKUP($A9,'Lịch AP'!$A:$J,B$1,0),"")</f>
        <v/>
      </c>
      <c r="C9" s="21" t="str">
        <f>IFERROR(VLOOKUP($A9,'Lịch AP'!$A:$J,C$1,0),"")</f>
        <v/>
      </c>
      <c r="D9" s="20" t="str">
        <f>IFERROR(VLOOKUP($A9,'Lịch AP'!$A:$J,D$1,0),"")</f>
        <v/>
      </c>
      <c r="E9" s="20" t="str">
        <f>IFERROR(VLOOKUP($A9,'Lịch AP'!$A:$J,E$1,0),"")</f>
        <v/>
      </c>
      <c r="F9" s="20" t="str">
        <f>IFERROR(VLOOKUP($A9,'Lịch AP'!$A:$J,F$1,0),"")</f>
        <v/>
      </c>
      <c r="G9" s="20" t="str">
        <f>IFERROR(VLOOKUP($A9,'Lịch AP'!$A:$J,G$1,0),"")</f>
        <v/>
      </c>
      <c r="H9" s="20" t="str">
        <f>IFERROR(VLOOKUP($A9,'Lịch AP'!$A:$J,H$1,0),"")</f>
        <v/>
      </c>
      <c r="I9" s="20" t="str">
        <f>IFERROR(VLOOKUP($A9,'Lịch AP'!$A:$J,I$1,0),"")</f>
        <v/>
      </c>
      <c r="J9" s="32">
        <f>B11-1</f>
        <v>45973</v>
      </c>
      <c r="K9" s="33" t="s">
        <v>384</v>
      </c>
      <c r="L9" s="22"/>
    </row>
    <row r="10" spans="1:12" ht="14.4">
      <c r="A10" s="19"/>
      <c r="B10" s="20" t="str">
        <f>IFERROR(VLOOKUP($A10,'Lịch AP'!$A:$J,B$1,0),"")</f>
        <v/>
      </c>
      <c r="C10" s="21" t="str">
        <f>IFERROR(VLOOKUP($A10,'Lịch AP'!$A:$J,C$1,0),"")</f>
        <v/>
      </c>
      <c r="D10" s="20" t="str">
        <f>IFERROR(VLOOKUP($A10,'Lịch AP'!$A:$J,D$1,0),"")</f>
        <v/>
      </c>
      <c r="E10" s="20" t="str">
        <f>IFERROR(VLOOKUP($A10,'Lịch AP'!$A:$J,E$1,0),"")</f>
        <v/>
      </c>
      <c r="F10" s="20" t="str">
        <f>IFERROR(VLOOKUP($A10,'Lịch AP'!$A:$J,F$1,0),"")</f>
        <v/>
      </c>
      <c r="G10" s="20" t="str">
        <f>IFERROR(VLOOKUP($A10,'Lịch AP'!$A:$J,G$1,0),"")</f>
        <v/>
      </c>
      <c r="H10" s="20" t="str">
        <f>IFERROR(VLOOKUP($A10,'Lịch AP'!$A:$J,H$1,0),"")</f>
        <v/>
      </c>
      <c r="I10" s="20" t="str">
        <f>IFERROR(VLOOKUP($A10,'Lịch AP'!$A:$J,I$1,0),"")</f>
        <v/>
      </c>
      <c r="J10" s="32"/>
      <c r="K10" s="19"/>
      <c r="L10" s="22"/>
    </row>
    <row r="11" spans="1:12" ht="14.4">
      <c r="A11" s="19">
        <v>5</v>
      </c>
      <c r="B11" s="20">
        <f>IFERROR(VLOOKUP($A11,'Lịch AP'!$A:$J,B$1,0),"")</f>
        <v>45974</v>
      </c>
      <c r="C11" s="21">
        <f>IFERROR(VLOOKUP($A11,'Lịch AP'!$A:$J,C$1,0),"")</f>
        <v>1</v>
      </c>
      <c r="D11" s="20" t="str">
        <f>IFERROR(VLOOKUP($A11,'Lịch AP'!$A:$J,D$1,0),"")</f>
        <v>PMQT</v>
      </c>
      <c r="E11" s="20" t="str">
        <f>IFERROR(VLOOKUP($A11,'Lịch AP'!$A:$J,E$1,0),"")</f>
        <v>T1006 (Nha T)</v>
      </c>
      <c r="F11" s="20" t="str">
        <f>IFERROR(VLOOKUP($A11,'Lịch AP'!$A:$J,F$1,0),"")</f>
        <v>SD21301</v>
      </c>
      <c r="G11" s="20" t="str">
        <f>IFERROR(VLOOKUP($A11,'Lịch AP'!$A:$J,G$1,0),"")</f>
        <v>baytt</v>
      </c>
      <c r="H11" s="20" t="str">
        <f>IFERROR(VLOOKUP($A11,'Lịch AP'!$A:$J,H$1,0),"")</f>
        <v>COM108</v>
      </c>
      <c r="I11" s="20" t="str">
        <f>IFERROR(VLOOKUP($A11,'Lịch AP'!$A:$J,I$1,0),"")</f>
        <v>Nhập môn lập trình</v>
      </c>
      <c r="J11" s="32"/>
      <c r="K11" s="19"/>
      <c r="L11" s="22"/>
    </row>
    <row r="12" spans="1:12" ht="14.4">
      <c r="A12" s="19">
        <v>6</v>
      </c>
      <c r="B12" s="20">
        <f>IFERROR(VLOOKUP($A12,'Lịch AP'!$A:$J,B$1,0),"")</f>
        <v>45976</v>
      </c>
      <c r="C12" s="21">
        <f>IFERROR(VLOOKUP($A12,'Lịch AP'!$A:$J,C$1,0),"")</f>
        <v>1</v>
      </c>
      <c r="D12" s="20" t="str">
        <f>IFERROR(VLOOKUP($A12,'Lịch AP'!$A:$J,D$1,0),"")</f>
        <v>PMQT</v>
      </c>
      <c r="E12" s="20" t="str">
        <f>IFERROR(VLOOKUP($A12,'Lịch AP'!$A:$J,E$1,0),"")</f>
        <v>T1006 (Nha T)</v>
      </c>
      <c r="F12" s="20" t="str">
        <f>IFERROR(VLOOKUP($A12,'Lịch AP'!$A:$J,F$1,0),"")</f>
        <v>SD21301</v>
      </c>
      <c r="G12" s="20" t="str">
        <f>IFERROR(VLOOKUP($A12,'Lịch AP'!$A:$J,G$1,0),"")</f>
        <v>baytt</v>
      </c>
      <c r="H12" s="20" t="str">
        <f>IFERROR(VLOOKUP($A12,'Lịch AP'!$A:$J,H$1,0),"")</f>
        <v>COM108</v>
      </c>
      <c r="I12" s="20" t="str">
        <f>IFERROR(VLOOKUP($A12,'Lịch AP'!$A:$J,I$1,0),"")</f>
        <v>Nhập môn lập trình</v>
      </c>
      <c r="J12" s="32"/>
      <c r="K12" s="19"/>
      <c r="L12" s="22"/>
    </row>
    <row r="13" spans="1:12" ht="14.4">
      <c r="A13" s="19"/>
      <c r="B13" s="20" t="str">
        <f>IFERROR(VLOOKUP($A13,'Lịch AP'!$A:$J,B$1,0),"")</f>
        <v/>
      </c>
      <c r="C13" s="21" t="str">
        <f>IFERROR(VLOOKUP($A13,'Lịch AP'!$A:$J,C$1,0),"")</f>
        <v/>
      </c>
      <c r="D13" s="20" t="str">
        <f>IFERROR(VLOOKUP($A13,'Lịch AP'!$A:$J,D$1,0),"")</f>
        <v/>
      </c>
      <c r="E13" s="20" t="str">
        <f>IFERROR(VLOOKUP($A13,'Lịch AP'!$A:$J,E$1,0),"")</f>
        <v/>
      </c>
      <c r="F13" s="20" t="str">
        <f>IFERROR(VLOOKUP($A13,'Lịch AP'!$A:$J,F$1,0),"")</f>
        <v/>
      </c>
      <c r="G13" s="20" t="str">
        <f>IFERROR(VLOOKUP($A13,'Lịch AP'!$A:$J,G$1,0),"")</f>
        <v/>
      </c>
      <c r="H13" s="20" t="str">
        <f>IFERROR(VLOOKUP($A13,'Lịch AP'!$A:$J,H$1,0),"")</f>
        <v/>
      </c>
      <c r="I13" s="20" t="str">
        <f>IFERROR(VLOOKUP($A13,'Lịch AP'!$A:$J,I$1,0),"")</f>
        <v/>
      </c>
      <c r="J13" s="32">
        <f>B15-1</f>
        <v>45978</v>
      </c>
      <c r="K13" s="19" t="s">
        <v>385</v>
      </c>
      <c r="L13" s="22"/>
    </row>
    <row r="14" spans="1:12" ht="14.4">
      <c r="A14" s="19"/>
      <c r="B14" s="20" t="str">
        <f>IFERROR(VLOOKUP($A14,'Lịch AP'!$A:$J,B$1,0),"")</f>
        <v/>
      </c>
      <c r="C14" s="21" t="str">
        <f>IFERROR(VLOOKUP($A14,'Lịch AP'!$A:$J,C$1,0),"")</f>
        <v/>
      </c>
      <c r="D14" s="20" t="str">
        <f>IFERROR(VLOOKUP($A14,'Lịch AP'!$A:$J,D$1,0),"")</f>
        <v/>
      </c>
      <c r="E14" s="20" t="str">
        <f>IFERROR(VLOOKUP($A14,'Lịch AP'!$A:$J,E$1,0),"")</f>
        <v/>
      </c>
      <c r="F14" s="20" t="str">
        <f>IFERROR(VLOOKUP($A14,'Lịch AP'!$A:$J,F$1,0),"")</f>
        <v/>
      </c>
      <c r="G14" s="20" t="str">
        <f>IFERROR(VLOOKUP($A14,'Lịch AP'!$A:$J,G$1,0),"")</f>
        <v/>
      </c>
      <c r="H14" s="20" t="str">
        <f>IFERROR(VLOOKUP($A14,'Lịch AP'!$A:$J,H$1,0),"")</f>
        <v/>
      </c>
      <c r="I14" s="20" t="str">
        <f>IFERROR(VLOOKUP($A14,'Lịch AP'!$A:$J,I$1,0),"")</f>
        <v/>
      </c>
      <c r="J14" s="32"/>
      <c r="K14" s="19"/>
      <c r="L14" s="22"/>
    </row>
    <row r="15" spans="1:12" ht="14.4">
      <c r="A15" s="19">
        <v>7</v>
      </c>
      <c r="B15" s="20">
        <f>IFERROR(VLOOKUP($A15,'Lịch AP'!$A:$J,B$1,0),"")</f>
        <v>45979</v>
      </c>
      <c r="C15" s="21">
        <f>IFERROR(VLOOKUP($A15,'Lịch AP'!$A:$J,C$1,0),"")</f>
        <v>1</v>
      </c>
      <c r="D15" s="20" t="str">
        <f>IFERROR(VLOOKUP($A15,'Lịch AP'!$A:$J,D$1,0),"")</f>
        <v>PMQT</v>
      </c>
      <c r="E15" s="20" t="str">
        <f>IFERROR(VLOOKUP($A15,'Lịch AP'!$A:$J,E$1,0),"")</f>
        <v>T1006 (Nha T)</v>
      </c>
      <c r="F15" s="20" t="str">
        <f>IFERROR(VLOOKUP($A15,'Lịch AP'!$A:$J,F$1,0),"")</f>
        <v>SD21301</v>
      </c>
      <c r="G15" s="20" t="str">
        <f>IFERROR(VLOOKUP($A15,'Lịch AP'!$A:$J,G$1,0),"")</f>
        <v>baytt</v>
      </c>
      <c r="H15" s="20" t="str">
        <f>IFERROR(VLOOKUP($A15,'Lịch AP'!$A:$J,H$1,0),"")</f>
        <v>COM108</v>
      </c>
      <c r="I15" s="20" t="str">
        <f>IFERROR(VLOOKUP($A15,'Lịch AP'!$A:$J,I$1,0),"")</f>
        <v>Nhập môn lập trình</v>
      </c>
      <c r="J15" s="32"/>
      <c r="K15" s="19"/>
      <c r="L15" s="22"/>
    </row>
    <row r="16" spans="1:12" ht="14.4">
      <c r="A16" s="19">
        <v>8</v>
      </c>
      <c r="B16" s="20">
        <f>IFERROR(VLOOKUP($A16,'Lịch AP'!$A:$J,B$1,0),"")</f>
        <v>45981</v>
      </c>
      <c r="C16" s="21">
        <f>IFERROR(VLOOKUP($A16,'Lịch AP'!$A:$J,C$1,0),"")</f>
        <v>1</v>
      </c>
      <c r="D16" s="20" t="str">
        <f>IFERROR(VLOOKUP($A16,'Lịch AP'!$A:$J,D$1,0),"")</f>
        <v>PMQT</v>
      </c>
      <c r="E16" s="20" t="str">
        <f>IFERROR(VLOOKUP($A16,'Lịch AP'!$A:$J,E$1,0),"")</f>
        <v>T1006 (Nha T)</v>
      </c>
      <c r="F16" s="20" t="str">
        <f>IFERROR(VLOOKUP($A16,'Lịch AP'!$A:$J,F$1,0),"")</f>
        <v>SD21301</v>
      </c>
      <c r="G16" s="20" t="str">
        <f>IFERROR(VLOOKUP($A16,'Lịch AP'!$A:$J,G$1,0),"")</f>
        <v>baytt</v>
      </c>
      <c r="H16" s="20" t="str">
        <f>IFERROR(VLOOKUP($A16,'Lịch AP'!$A:$J,H$1,0),"")</f>
        <v>COM108</v>
      </c>
      <c r="I16" s="20" t="str">
        <f>IFERROR(VLOOKUP($A16,'Lịch AP'!$A:$J,I$1,0),"")</f>
        <v>Nhập môn lập trình</v>
      </c>
      <c r="J16" s="32"/>
      <c r="K16" s="19"/>
      <c r="L16" s="22"/>
    </row>
    <row r="17" spans="1:12" ht="14.4">
      <c r="A17" s="19"/>
      <c r="B17" s="20" t="str">
        <f>IFERROR(VLOOKUP($A17,'Lịch AP'!$A:$J,B$1,0),"")</f>
        <v/>
      </c>
      <c r="C17" s="21" t="str">
        <f>IFERROR(VLOOKUP($A17,'Lịch AP'!$A:$J,C$1,0),"")</f>
        <v/>
      </c>
      <c r="D17" s="20" t="str">
        <f>IFERROR(VLOOKUP($A17,'Lịch AP'!$A:$J,D$1,0),"")</f>
        <v/>
      </c>
      <c r="E17" s="20" t="str">
        <f>IFERROR(VLOOKUP($A17,'Lịch AP'!$A:$J,E$1,0),"")</f>
        <v/>
      </c>
      <c r="F17" s="20" t="str">
        <f>IFERROR(VLOOKUP($A17,'Lịch AP'!$A:$J,F$1,0),"")</f>
        <v/>
      </c>
      <c r="G17" s="20" t="str">
        <f>IFERROR(VLOOKUP($A17,'Lịch AP'!$A:$J,G$1,0),"")</f>
        <v/>
      </c>
      <c r="H17" s="20" t="str">
        <f>IFERROR(VLOOKUP($A17,'Lịch AP'!$A:$J,H$1,0),"")</f>
        <v/>
      </c>
      <c r="I17" s="20" t="str">
        <f>IFERROR(VLOOKUP($A17,'Lịch AP'!$A:$J,I$1,0),"")</f>
        <v/>
      </c>
      <c r="J17" s="32">
        <f>B19-1</f>
        <v>45982</v>
      </c>
      <c r="K17" s="34" t="s">
        <v>386</v>
      </c>
      <c r="L17" s="22"/>
    </row>
    <row r="18" spans="1:12" ht="14.4">
      <c r="A18" s="19"/>
      <c r="B18" s="20" t="str">
        <f>IFERROR(VLOOKUP($A18,'Lịch AP'!$A:$J,B$1,0),"")</f>
        <v/>
      </c>
      <c r="C18" s="21" t="str">
        <f>IFERROR(VLOOKUP($A18,'Lịch AP'!$A:$J,C$1,0),"")</f>
        <v/>
      </c>
      <c r="D18" s="20" t="str">
        <f>IFERROR(VLOOKUP($A18,'Lịch AP'!$A:$J,D$1,0),"")</f>
        <v/>
      </c>
      <c r="E18" s="20" t="str">
        <f>IFERROR(VLOOKUP($A18,'Lịch AP'!$A:$J,E$1,0),"")</f>
        <v/>
      </c>
      <c r="F18" s="20" t="str">
        <f>IFERROR(VLOOKUP($A18,'Lịch AP'!$A:$J,F$1,0),"")</f>
        <v/>
      </c>
      <c r="G18" s="20" t="str">
        <f>IFERROR(VLOOKUP($A18,'Lịch AP'!$A:$J,G$1,0),"")</f>
        <v/>
      </c>
      <c r="H18" s="20" t="str">
        <f>IFERROR(VLOOKUP($A18,'Lịch AP'!$A:$J,H$1,0),"")</f>
        <v/>
      </c>
      <c r="I18" s="20" t="str">
        <f>IFERROR(VLOOKUP($A18,'Lịch AP'!$A:$J,I$1,0),"")</f>
        <v/>
      </c>
      <c r="J18" s="32"/>
      <c r="K18" s="19"/>
      <c r="L18" s="22"/>
    </row>
    <row r="19" spans="1:12" ht="14.4">
      <c r="A19" s="19">
        <v>9</v>
      </c>
      <c r="B19" s="20">
        <f>IFERROR(VLOOKUP($A19,'Lịch AP'!$A:$J,B$1,0),"")</f>
        <v>45983</v>
      </c>
      <c r="C19" s="21">
        <f>IFERROR(VLOOKUP($A19,'Lịch AP'!$A:$J,C$1,0),"")</f>
        <v>1</v>
      </c>
      <c r="D19" s="20" t="str">
        <f>IFERROR(VLOOKUP($A19,'Lịch AP'!$A:$J,D$1,0),"")</f>
        <v>PMQT</v>
      </c>
      <c r="E19" s="20" t="str">
        <f>IFERROR(VLOOKUP($A19,'Lịch AP'!$A:$J,E$1,0),"")</f>
        <v>T1006 (Nha T)</v>
      </c>
      <c r="F19" s="20" t="str">
        <f>IFERROR(VLOOKUP($A19,'Lịch AP'!$A:$J,F$1,0),"")</f>
        <v>SD21301</v>
      </c>
      <c r="G19" s="20" t="str">
        <f>IFERROR(VLOOKUP($A19,'Lịch AP'!$A:$J,G$1,0),"")</f>
        <v>baytt</v>
      </c>
      <c r="H19" s="20" t="str">
        <f>IFERROR(VLOOKUP($A19,'Lịch AP'!$A:$J,H$1,0),"")</f>
        <v>COM108</v>
      </c>
      <c r="I19" s="20" t="str">
        <f>IFERROR(VLOOKUP($A19,'Lịch AP'!$A:$J,I$1,0),"")</f>
        <v>Nhập môn lập trình</v>
      </c>
      <c r="J19" s="32"/>
      <c r="K19" s="19"/>
      <c r="L19" s="22"/>
    </row>
    <row r="20" spans="1:12" ht="14.4">
      <c r="A20" s="19">
        <v>10</v>
      </c>
      <c r="B20" s="20">
        <f>IFERROR(VLOOKUP($A20,'Lịch AP'!$A:$J,B$1,0),"")</f>
        <v>45986</v>
      </c>
      <c r="C20" s="21">
        <f>IFERROR(VLOOKUP($A20,'Lịch AP'!$A:$J,C$1,0),"")</f>
        <v>1</v>
      </c>
      <c r="D20" s="20" t="str">
        <f>IFERROR(VLOOKUP($A20,'Lịch AP'!$A:$J,D$1,0),"")</f>
        <v>PMQT</v>
      </c>
      <c r="E20" s="20" t="str">
        <f>IFERROR(VLOOKUP($A20,'Lịch AP'!$A:$J,E$1,0),"")</f>
        <v>T1006 (Nha T)</v>
      </c>
      <c r="F20" s="20" t="str">
        <f>IFERROR(VLOOKUP($A20,'Lịch AP'!$A:$J,F$1,0),"")</f>
        <v>SD21301</v>
      </c>
      <c r="G20" s="20" t="str">
        <f>IFERROR(VLOOKUP($A20,'Lịch AP'!$A:$J,G$1,0),"")</f>
        <v>baytt</v>
      </c>
      <c r="H20" s="20" t="str">
        <f>IFERROR(VLOOKUP($A20,'Lịch AP'!$A:$J,H$1,0),"")</f>
        <v>COM108</v>
      </c>
      <c r="I20" s="20" t="str">
        <f>IFERROR(VLOOKUP($A20,'Lịch AP'!$A:$J,I$1,0),"")</f>
        <v>Nhập môn lập trình</v>
      </c>
      <c r="J20" s="32"/>
      <c r="K20" s="19"/>
      <c r="L20" s="22"/>
    </row>
    <row r="21" spans="1:12" ht="14.4">
      <c r="A21" s="19"/>
      <c r="B21" s="20" t="str">
        <f>IFERROR(VLOOKUP($A21,'Lịch AP'!$A:$J,B$1,0),"")</f>
        <v/>
      </c>
      <c r="C21" s="21" t="str">
        <f>IFERROR(VLOOKUP($A21,'Lịch AP'!$A:$J,C$1,0),"")</f>
        <v/>
      </c>
      <c r="D21" s="20" t="str">
        <f>IFERROR(VLOOKUP($A21,'Lịch AP'!$A:$J,D$1,0),"")</f>
        <v/>
      </c>
      <c r="E21" s="20" t="str">
        <f>IFERROR(VLOOKUP($A21,'Lịch AP'!$A:$J,E$1,0),"")</f>
        <v/>
      </c>
      <c r="F21" s="20" t="str">
        <f>IFERROR(VLOOKUP($A21,'Lịch AP'!$A:$J,F$1,0),"")</f>
        <v/>
      </c>
      <c r="G21" s="20" t="str">
        <f>IFERROR(VLOOKUP($A21,'Lịch AP'!$A:$J,G$1,0),"")</f>
        <v/>
      </c>
      <c r="H21" s="20" t="str">
        <f>IFERROR(VLOOKUP($A21,'Lịch AP'!$A:$J,H$1,0),"")</f>
        <v/>
      </c>
      <c r="I21" s="20" t="str">
        <f>IFERROR(VLOOKUP($A21,'Lịch AP'!$A:$J,I$1,0),"")</f>
        <v/>
      </c>
      <c r="J21" s="32">
        <f>B23-1</f>
        <v>45987</v>
      </c>
      <c r="K21" s="19" t="s">
        <v>387</v>
      </c>
      <c r="L21" s="22"/>
    </row>
    <row r="22" spans="1:12" ht="14.4">
      <c r="A22" s="19"/>
      <c r="B22" s="20" t="str">
        <f>IFERROR(VLOOKUP($A22,'Lịch AP'!$A:$J,B$1,0),"")</f>
        <v/>
      </c>
      <c r="C22" s="21" t="str">
        <f>IFERROR(VLOOKUP($A22,'Lịch AP'!$A:$J,C$1,0),"")</f>
        <v/>
      </c>
      <c r="D22" s="20" t="str">
        <f>IFERROR(VLOOKUP($A22,'Lịch AP'!$A:$J,D$1,0),"")</f>
        <v/>
      </c>
      <c r="E22" s="20" t="str">
        <f>IFERROR(VLOOKUP($A22,'Lịch AP'!$A:$J,E$1,0),"")</f>
        <v/>
      </c>
      <c r="F22" s="20" t="str">
        <f>IFERROR(VLOOKUP($A22,'Lịch AP'!$A:$J,F$1,0),"")</f>
        <v/>
      </c>
      <c r="G22" s="20" t="str">
        <f>IFERROR(VLOOKUP($A22,'Lịch AP'!$A:$J,G$1,0),"")</f>
        <v/>
      </c>
      <c r="H22" s="20" t="str">
        <f>IFERROR(VLOOKUP($A22,'Lịch AP'!$A:$J,H$1,0),"")</f>
        <v/>
      </c>
      <c r="I22" s="20" t="str">
        <f>IFERROR(VLOOKUP($A22,'Lịch AP'!$A:$J,I$1,0),"")</f>
        <v/>
      </c>
      <c r="J22" s="32"/>
      <c r="K22" s="19"/>
      <c r="L22" s="22"/>
    </row>
    <row r="23" spans="1:12" ht="14.4">
      <c r="A23" s="19">
        <v>11</v>
      </c>
      <c r="B23" s="20">
        <f>IFERROR(VLOOKUP($A23,'Lịch AP'!$A:$J,B$1,0),"")</f>
        <v>45988</v>
      </c>
      <c r="C23" s="21">
        <f>IFERROR(VLOOKUP($A23,'Lịch AP'!$A:$J,C$1,0),"")</f>
        <v>1</v>
      </c>
      <c r="D23" s="20" t="str">
        <f>IFERROR(VLOOKUP($A23,'Lịch AP'!$A:$J,D$1,0),"")</f>
        <v>PMQT</v>
      </c>
      <c r="E23" s="20" t="str">
        <f>IFERROR(VLOOKUP($A23,'Lịch AP'!$A:$J,E$1,0),"")</f>
        <v>T1006 (Nha T)</v>
      </c>
      <c r="F23" s="20" t="str">
        <f>IFERROR(VLOOKUP($A23,'Lịch AP'!$A:$J,F$1,0),"")</f>
        <v>SD21301</v>
      </c>
      <c r="G23" s="20" t="str">
        <f>IFERROR(VLOOKUP($A23,'Lịch AP'!$A:$J,G$1,0),"")</f>
        <v>baytt</v>
      </c>
      <c r="H23" s="20" t="str">
        <f>IFERROR(VLOOKUP($A23,'Lịch AP'!$A:$J,H$1,0),"")</f>
        <v>COM108</v>
      </c>
      <c r="I23" s="20" t="str">
        <f>IFERROR(VLOOKUP($A23,'Lịch AP'!$A:$J,I$1,0),"")</f>
        <v>Nhập môn lập trình</v>
      </c>
      <c r="J23" s="32"/>
      <c r="K23" s="19"/>
      <c r="L23" s="22"/>
    </row>
    <row r="24" spans="1:12" ht="14.4">
      <c r="A24" s="19">
        <v>12</v>
      </c>
      <c r="B24" s="20">
        <f>IFERROR(VLOOKUP($A24,'Lịch AP'!$A:$J,B$1,0),"")</f>
        <v>45990</v>
      </c>
      <c r="C24" s="21">
        <f>IFERROR(VLOOKUP($A24,'Lịch AP'!$A:$J,C$1,0),"")</f>
        <v>1</v>
      </c>
      <c r="D24" s="20" t="str">
        <f>IFERROR(VLOOKUP($A24,'Lịch AP'!$A:$J,D$1,0),"")</f>
        <v>PMQT</v>
      </c>
      <c r="E24" s="20" t="str">
        <f>IFERROR(VLOOKUP($A24,'Lịch AP'!$A:$J,E$1,0),"")</f>
        <v>T1006 (Nha T)</v>
      </c>
      <c r="F24" s="20" t="str">
        <f>IFERROR(VLOOKUP($A24,'Lịch AP'!$A:$J,F$1,0),"")</f>
        <v>SD21301</v>
      </c>
      <c r="G24" s="20" t="str">
        <f>IFERROR(VLOOKUP($A24,'Lịch AP'!$A:$J,G$1,0),"")</f>
        <v>baytt</v>
      </c>
      <c r="H24" s="20" t="str">
        <f>IFERROR(VLOOKUP($A24,'Lịch AP'!$A:$J,H$1,0),"")</f>
        <v>COM108</v>
      </c>
      <c r="I24" s="20" t="str">
        <f>IFERROR(VLOOKUP($A24,'Lịch AP'!$A:$J,I$1,0),"")</f>
        <v>Nhập môn lập trình</v>
      </c>
      <c r="J24" s="32"/>
      <c r="K24" s="19"/>
      <c r="L24" s="22"/>
    </row>
    <row r="25" spans="1:12" ht="14.4">
      <c r="A25" s="19"/>
      <c r="B25" s="20" t="str">
        <f>IFERROR(VLOOKUP($A25,'Lịch AP'!$A:$J,B$1,0),"")</f>
        <v/>
      </c>
      <c r="C25" s="21" t="str">
        <f>IFERROR(VLOOKUP($A25,'Lịch AP'!$A:$J,C$1,0),"")</f>
        <v/>
      </c>
      <c r="D25" s="20" t="str">
        <f>IFERROR(VLOOKUP($A25,'Lịch AP'!$A:$J,D$1,0),"")</f>
        <v/>
      </c>
      <c r="E25" s="20" t="str">
        <f>IFERROR(VLOOKUP($A25,'Lịch AP'!$A:$J,E$1,0),"")</f>
        <v/>
      </c>
      <c r="F25" s="20" t="str">
        <f>IFERROR(VLOOKUP($A25,'Lịch AP'!$A:$J,F$1,0),"")</f>
        <v/>
      </c>
      <c r="G25" s="20" t="str">
        <f>IFERROR(VLOOKUP($A25,'Lịch AP'!$A:$J,G$1,0),"")</f>
        <v/>
      </c>
      <c r="H25" s="20" t="str">
        <f>IFERROR(VLOOKUP($A25,'Lịch AP'!$A:$J,H$1,0),"")</f>
        <v/>
      </c>
      <c r="I25" s="20" t="str">
        <f>IFERROR(VLOOKUP($A25,'Lịch AP'!$A:$J,I$1,0),"")</f>
        <v/>
      </c>
      <c r="J25" s="32">
        <f>B27-1</f>
        <v>45992</v>
      </c>
      <c r="K25" s="19" t="s">
        <v>388</v>
      </c>
      <c r="L25" s="22"/>
    </row>
    <row r="26" spans="1:12" ht="14.4">
      <c r="A26" s="19"/>
      <c r="B26" s="20" t="str">
        <f>IFERROR(VLOOKUP($A26,'Lịch AP'!$A:$J,B$1,0),"")</f>
        <v/>
      </c>
      <c r="C26" s="21" t="str">
        <f>IFERROR(VLOOKUP($A26,'Lịch AP'!$A:$J,C$1,0),"")</f>
        <v/>
      </c>
      <c r="D26" s="20" t="str">
        <f>IFERROR(VLOOKUP($A26,'Lịch AP'!$A:$J,D$1,0),"")</f>
        <v/>
      </c>
      <c r="E26" s="20" t="str">
        <f>IFERROR(VLOOKUP($A26,'Lịch AP'!$A:$J,E$1,0),"")</f>
        <v/>
      </c>
      <c r="F26" s="20" t="str">
        <f>IFERROR(VLOOKUP($A26,'Lịch AP'!$A:$J,F$1,0),"")</f>
        <v/>
      </c>
      <c r="G26" s="20" t="str">
        <f>IFERROR(VLOOKUP($A26,'Lịch AP'!$A:$J,G$1,0),"")</f>
        <v/>
      </c>
      <c r="H26" s="20" t="str">
        <f>IFERROR(VLOOKUP($A26,'Lịch AP'!$A:$J,H$1,0),"")</f>
        <v/>
      </c>
      <c r="I26" s="20" t="str">
        <f>IFERROR(VLOOKUP($A26,'Lịch AP'!$A:$J,I$1,0),"")</f>
        <v/>
      </c>
      <c r="J26" s="32"/>
      <c r="K26" s="19"/>
      <c r="L26" s="22"/>
    </row>
    <row r="27" spans="1:12" ht="14.4">
      <c r="A27" s="19">
        <v>13</v>
      </c>
      <c r="B27" s="20">
        <f>IFERROR(VLOOKUP($A27,'Lịch AP'!$A:$J,B$1,0),"")</f>
        <v>45993</v>
      </c>
      <c r="C27" s="21">
        <f>IFERROR(VLOOKUP($A27,'Lịch AP'!$A:$J,C$1,0),"")</f>
        <v>1</v>
      </c>
      <c r="D27" s="20" t="str">
        <f>IFERROR(VLOOKUP($A27,'Lịch AP'!$A:$J,D$1,0),"")</f>
        <v>PMQT</v>
      </c>
      <c r="E27" s="20" t="str">
        <f>IFERROR(VLOOKUP($A27,'Lịch AP'!$A:$J,E$1,0),"")</f>
        <v>T1006 (Nha T)</v>
      </c>
      <c r="F27" s="20" t="str">
        <f>IFERROR(VLOOKUP($A27,'Lịch AP'!$A:$J,F$1,0),"")</f>
        <v>SD21301</v>
      </c>
      <c r="G27" s="20" t="str">
        <f>IFERROR(VLOOKUP($A27,'Lịch AP'!$A:$J,G$1,0),"")</f>
        <v>baytt</v>
      </c>
      <c r="H27" s="20" t="str">
        <f>IFERROR(VLOOKUP($A27,'Lịch AP'!$A:$J,H$1,0),"")</f>
        <v>COM108</v>
      </c>
      <c r="I27" s="20" t="str">
        <f>IFERROR(VLOOKUP($A27,'Lịch AP'!$A:$J,I$1,0),"")</f>
        <v>Nhập môn lập trình</v>
      </c>
      <c r="J27" s="32"/>
      <c r="K27" s="19"/>
      <c r="L27" s="22"/>
    </row>
    <row r="28" spans="1:12" ht="14.4">
      <c r="A28" s="19">
        <v>14</v>
      </c>
      <c r="B28" s="20">
        <f>IFERROR(VLOOKUP($A28,'Lịch AP'!$A:$J,B$1,0),"")</f>
        <v>45995</v>
      </c>
      <c r="C28" s="21">
        <f>IFERROR(VLOOKUP($A28,'Lịch AP'!$A:$J,C$1,0),"")</f>
        <v>1</v>
      </c>
      <c r="D28" s="20" t="str">
        <f>IFERROR(VLOOKUP($A28,'Lịch AP'!$A:$J,D$1,0),"")</f>
        <v>PMQT</v>
      </c>
      <c r="E28" s="20" t="str">
        <f>IFERROR(VLOOKUP($A28,'Lịch AP'!$A:$J,E$1,0),"")</f>
        <v>T1006 (Nha T)</v>
      </c>
      <c r="F28" s="20" t="str">
        <f>IFERROR(VLOOKUP($A28,'Lịch AP'!$A:$J,F$1,0),"")</f>
        <v>SD21301</v>
      </c>
      <c r="G28" s="20" t="str">
        <f>IFERROR(VLOOKUP($A28,'Lịch AP'!$A:$J,G$1,0),"")</f>
        <v>baytt</v>
      </c>
      <c r="H28" s="20" t="str">
        <f>IFERROR(VLOOKUP($A28,'Lịch AP'!$A:$J,H$1,0),"")</f>
        <v>COM108</v>
      </c>
      <c r="I28" s="20" t="str">
        <f>IFERROR(VLOOKUP($A28,'Lịch AP'!$A:$J,I$1,0),"")</f>
        <v>Nhập môn lập trình</v>
      </c>
      <c r="J28" s="32"/>
      <c r="K28" s="19"/>
      <c r="L28" s="22"/>
    </row>
    <row r="29" spans="1:12" ht="14.4">
      <c r="A29" s="19"/>
      <c r="B29" s="20" t="str">
        <f>IFERROR(VLOOKUP($A29,'Lịch AP'!$A:$J,B$1,0),"")</f>
        <v/>
      </c>
      <c r="C29" s="21" t="str">
        <f>IFERROR(VLOOKUP($A29,'Lịch AP'!$A:$J,C$1,0),"")</f>
        <v/>
      </c>
      <c r="D29" s="20" t="str">
        <f>IFERROR(VLOOKUP($A29,'Lịch AP'!$A:$J,D$1,0),"")</f>
        <v/>
      </c>
      <c r="E29" s="20" t="str">
        <f>IFERROR(VLOOKUP($A29,'Lịch AP'!$A:$J,E$1,0),"")</f>
        <v/>
      </c>
      <c r="F29" s="20" t="str">
        <f>IFERROR(VLOOKUP($A29,'Lịch AP'!$A:$J,F$1,0),"")</f>
        <v/>
      </c>
      <c r="G29" s="20" t="str">
        <f>IFERROR(VLOOKUP($A29,'Lịch AP'!$A:$J,G$1,0),"")</f>
        <v/>
      </c>
      <c r="H29" s="20" t="str">
        <f>IFERROR(VLOOKUP($A29,'Lịch AP'!$A:$J,H$1,0),"")</f>
        <v/>
      </c>
      <c r="I29" s="20" t="str">
        <f>IFERROR(VLOOKUP($A29,'Lịch AP'!$A:$J,I$1,0),"")</f>
        <v/>
      </c>
      <c r="J29" s="32">
        <f>B31-1</f>
        <v>45996</v>
      </c>
      <c r="K29" s="34" t="s">
        <v>389</v>
      </c>
      <c r="L29" s="22"/>
    </row>
    <row r="30" spans="1:12" ht="14.4">
      <c r="A30" s="19"/>
      <c r="B30" s="20" t="str">
        <f>IFERROR(VLOOKUP($A30,'Lịch AP'!$A:$J,B$1,0),"")</f>
        <v/>
      </c>
      <c r="C30" s="21" t="str">
        <f>IFERROR(VLOOKUP($A30,'Lịch AP'!$A:$J,C$1,0),"")</f>
        <v/>
      </c>
      <c r="D30" s="20" t="str">
        <f>IFERROR(VLOOKUP($A30,'Lịch AP'!$A:$J,D$1,0),"")</f>
        <v/>
      </c>
      <c r="E30" s="20" t="str">
        <f>IFERROR(VLOOKUP($A30,'Lịch AP'!$A:$J,E$1,0),"")</f>
        <v/>
      </c>
      <c r="F30" s="20" t="str">
        <f>IFERROR(VLOOKUP($A30,'Lịch AP'!$A:$J,F$1,0),"")</f>
        <v/>
      </c>
      <c r="G30" s="20" t="str">
        <f>IFERROR(VLOOKUP($A30,'Lịch AP'!$A:$J,G$1,0),"")</f>
        <v/>
      </c>
      <c r="H30" s="20" t="str">
        <f>IFERROR(VLOOKUP($A30,'Lịch AP'!$A:$J,H$1,0),"")</f>
        <v/>
      </c>
      <c r="I30" s="20" t="str">
        <f>IFERROR(VLOOKUP($A30,'Lịch AP'!$A:$J,I$1,0),"")</f>
        <v/>
      </c>
      <c r="J30" s="32"/>
      <c r="K30" s="19"/>
      <c r="L30" s="22"/>
    </row>
    <row r="31" spans="1:12" ht="14.4">
      <c r="A31" s="19">
        <v>15</v>
      </c>
      <c r="B31" s="20">
        <f>IFERROR(VLOOKUP($A31,'Lịch AP'!$A:$J,B$1,0),"")</f>
        <v>45997</v>
      </c>
      <c r="C31" s="21">
        <f>IFERROR(VLOOKUP($A31,'Lịch AP'!$A:$J,C$1,0),"")</f>
        <v>1</v>
      </c>
      <c r="D31" s="20" t="str">
        <f>IFERROR(VLOOKUP($A31,'Lịch AP'!$A:$J,D$1,0),"")</f>
        <v>PMQT</v>
      </c>
      <c r="E31" s="20" t="str">
        <f>IFERROR(VLOOKUP($A31,'Lịch AP'!$A:$J,E$1,0),"")</f>
        <v>T1006 (Nha T)</v>
      </c>
      <c r="F31" s="20" t="str">
        <f>IFERROR(VLOOKUP($A31,'Lịch AP'!$A:$J,F$1,0),"")</f>
        <v>SD21301</v>
      </c>
      <c r="G31" s="20" t="str">
        <f>IFERROR(VLOOKUP($A31,'Lịch AP'!$A:$J,G$1,0),"")</f>
        <v>baytt</v>
      </c>
      <c r="H31" s="20" t="str">
        <f>IFERROR(VLOOKUP($A31,'Lịch AP'!$A:$J,H$1,0),"")</f>
        <v>COM108</v>
      </c>
      <c r="I31" s="20" t="str">
        <f>IFERROR(VLOOKUP($A31,'Lịch AP'!$A:$J,I$1,0),"")</f>
        <v>Nhập môn lập trình</v>
      </c>
      <c r="J31" s="32"/>
      <c r="K31" s="19"/>
      <c r="L31" s="22"/>
    </row>
    <row r="32" spans="1:12" ht="14.4">
      <c r="A32" s="19">
        <v>16</v>
      </c>
      <c r="B32" s="20">
        <f>IFERROR(VLOOKUP($A32,'Lịch AP'!$A:$J,B$1,0),"")</f>
        <v>46000</v>
      </c>
      <c r="C32" s="21">
        <f>IFERROR(VLOOKUP($A32,'Lịch AP'!$A:$J,C$1,0),"")</f>
        <v>1</v>
      </c>
      <c r="D32" s="20" t="str">
        <f>IFERROR(VLOOKUP($A32,'Lịch AP'!$A:$J,D$1,0),"")</f>
        <v>PMQT</v>
      </c>
      <c r="E32" s="20" t="str">
        <f>IFERROR(VLOOKUP($A32,'Lịch AP'!$A:$J,E$1,0),"")</f>
        <v>T1006 (Nha T)</v>
      </c>
      <c r="F32" s="20" t="str">
        <f>IFERROR(VLOOKUP($A32,'Lịch AP'!$A:$J,F$1,0),"")</f>
        <v>SD21301</v>
      </c>
      <c r="G32" s="20" t="str">
        <f>IFERROR(VLOOKUP($A32,'Lịch AP'!$A:$J,G$1,0),"")</f>
        <v>baytt</v>
      </c>
      <c r="H32" s="20" t="str">
        <f>IFERROR(VLOOKUP($A32,'Lịch AP'!$A:$J,H$1,0),"")</f>
        <v>COM108</v>
      </c>
      <c r="I32" s="20" t="str">
        <f>IFERROR(VLOOKUP($A32,'Lịch AP'!$A:$J,I$1,0),"")</f>
        <v>Nhập môn lập trình</v>
      </c>
      <c r="J32" s="32"/>
      <c r="K32" s="19"/>
      <c r="L32" s="22"/>
    </row>
    <row r="33" spans="1:12" ht="14.4">
      <c r="A33" s="19">
        <v>17</v>
      </c>
      <c r="B33" s="20">
        <f>IFERROR(VLOOKUP($A33,'Lịch AP'!$A:$J,B$1,0),"")</f>
        <v>46002</v>
      </c>
      <c r="C33" s="21">
        <f>IFERROR(VLOOKUP($A33,'Lịch AP'!$A:$J,C$1,0),"")</f>
        <v>1</v>
      </c>
      <c r="D33" s="20" t="str">
        <f>IFERROR(VLOOKUP($A33,'Lịch AP'!$A:$J,D$1,0),"")</f>
        <v>PMQT</v>
      </c>
      <c r="E33" s="20" t="str">
        <f>IFERROR(VLOOKUP($A33,'Lịch AP'!$A:$J,E$1,0),"")</f>
        <v>T1006 (Nha T)</v>
      </c>
      <c r="F33" s="20" t="str">
        <f>IFERROR(VLOOKUP($A33,'Lịch AP'!$A:$J,F$1,0),"")</f>
        <v>SD21301</v>
      </c>
      <c r="G33" s="20" t="str">
        <f>IFERROR(VLOOKUP($A33,'Lịch AP'!$A:$J,G$1,0),"")</f>
        <v>baytt</v>
      </c>
      <c r="H33" s="20" t="str">
        <f>IFERROR(VLOOKUP($A33,'Lịch AP'!$A:$J,H$1,0),"")</f>
        <v>COM108</v>
      </c>
      <c r="I33" s="20" t="str">
        <f>IFERROR(VLOOKUP($A33,'Lịch AP'!$A:$J,I$1,0),"")</f>
        <v>Nhập môn lập trình</v>
      </c>
      <c r="J33" s="32"/>
      <c r="K33" s="19"/>
      <c r="L33" s="22"/>
    </row>
    <row r="34" spans="1:12" ht="14.4">
      <c r="A34" s="19"/>
      <c r="B34" s="20" t="str">
        <f>IFERROR(VLOOKUP($A34,'Lịch AP'!$A:$J,B$1,0),"")</f>
        <v/>
      </c>
      <c r="C34" s="21" t="str">
        <f>IFERROR(VLOOKUP($A34,'Lịch AP'!$A:$J,C$1,0),"")</f>
        <v/>
      </c>
      <c r="D34" s="20" t="str">
        <f>IFERROR(VLOOKUP($A34,'Lịch AP'!$A:$J,D$1,0),"")</f>
        <v/>
      </c>
      <c r="E34" s="20" t="str">
        <f>IFERROR(VLOOKUP($A34,'Lịch AP'!$A:$J,E$1,0),"")</f>
        <v/>
      </c>
      <c r="F34" s="20" t="str">
        <f>IFERROR(VLOOKUP($A34,'Lịch AP'!$A:$J,F$1,0),"")</f>
        <v/>
      </c>
      <c r="G34" s="20" t="str">
        <f>IFERROR(VLOOKUP($A34,'Lịch AP'!$A:$J,G$1,0),"")</f>
        <v/>
      </c>
      <c r="H34" s="20" t="str">
        <f>IFERROR(VLOOKUP($A34,'Lịch AP'!$A:$J,H$1,0),"")</f>
        <v/>
      </c>
      <c r="I34" s="20" t="str">
        <f>IFERROR(VLOOKUP($A34,'Lịch AP'!$A:$J,I$1,0),"")</f>
        <v/>
      </c>
      <c r="J34" s="32">
        <f>B35-1</f>
        <v>46003</v>
      </c>
      <c r="K34" s="35" t="s">
        <v>390</v>
      </c>
      <c r="L34" s="36"/>
    </row>
    <row r="35" spans="1:12" ht="14.4">
      <c r="A35" s="19">
        <v>18</v>
      </c>
      <c r="B35" s="20">
        <f>IFERROR(VLOOKUP($A35,'Lịch AP'!$A:$J,B$1,0),"")</f>
        <v>46004</v>
      </c>
      <c r="C35" s="21">
        <f>IFERROR(VLOOKUP($A35,'Lịch AP'!$A:$J,C$1,0),"")</f>
        <v>1</v>
      </c>
      <c r="D35" s="20" t="str">
        <f>IFERROR(VLOOKUP($A35,'Lịch AP'!$A:$J,D$1,0),"")</f>
        <v>PMQT</v>
      </c>
      <c r="E35" s="20" t="str">
        <f>IFERROR(VLOOKUP($A35,'Lịch AP'!$A:$J,E$1,0),"")</f>
        <v>T1006 (Nha T)</v>
      </c>
      <c r="F35" s="20" t="str">
        <f>IFERROR(VLOOKUP($A35,'Lịch AP'!$A:$J,F$1,0),"")</f>
        <v>SD21301</v>
      </c>
      <c r="G35" s="20" t="str">
        <f>IFERROR(VLOOKUP($A35,'Lịch AP'!$A:$J,G$1,0),"")</f>
        <v>baytt</v>
      </c>
      <c r="H35" s="20" t="str">
        <f>IFERROR(VLOOKUP($A35,'Lịch AP'!$A:$J,H$1,0),"")</f>
        <v>COM108</v>
      </c>
      <c r="I35" s="20" t="str">
        <f>IFERROR(VLOOKUP($A35,'Lịch AP'!$A:$J,I$1,0),"")</f>
        <v>Nhập môn lập trình</v>
      </c>
      <c r="J35" s="32"/>
      <c r="K35" s="19"/>
      <c r="L35" s="22"/>
    </row>
    <row r="36" spans="1:12" ht="14.4">
      <c r="A36" s="19">
        <v>19</v>
      </c>
      <c r="B36" s="20">
        <f>IFERROR(VLOOKUP($A36,'Lịch AP'!$A:$J,B$1,0),"")</f>
        <v>46007</v>
      </c>
      <c r="C36" s="21">
        <f>IFERROR(VLOOKUP($A36,'Lịch AP'!$A:$J,C$1,0),"")</f>
        <v>1</v>
      </c>
      <c r="D36" s="20" t="str">
        <f>IFERROR(VLOOKUP($A36,'Lịch AP'!$A:$J,D$1,0),"")</f>
        <v>PMQT</v>
      </c>
      <c r="E36" s="20" t="str">
        <f>IFERROR(VLOOKUP($A36,'Lịch AP'!$A:$J,E$1,0),"")</f>
        <v>T1006 (Nha T)</v>
      </c>
      <c r="F36" s="20" t="str">
        <f>IFERROR(VLOOKUP($A36,'Lịch AP'!$A:$J,F$1,0),"")</f>
        <v>SD21301</v>
      </c>
      <c r="G36" s="20" t="str">
        <f>IFERROR(VLOOKUP($A36,'Lịch AP'!$A:$J,G$1,0),"")</f>
        <v>baytt</v>
      </c>
      <c r="H36" s="20" t="str">
        <f>IFERROR(VLOOKUP($A36,'Lịch AP'!$A:$J,H$1,0),"")</f>
        <v>COM108</v>
      </c>
      <c r="I36" s="20" t="str">
        <f>IFERROR(VLOOKUP($A36,'Lịch AP'!$A:$J,I$1,0),"")</f>
        <v>Nhập môn lập trình</v>
      </c>
      <c r="J36" s="32"/>
      <c r="K36" s="19"/>
      <c r="L36" s="22"/>
    </row>
    <row r="37" spans="1:12" ht="14.4">
      <c r="A37" s="19">
        <v>20</v>
      </c>
      <c r="B37" s="20">
        <f>IFERROR(VLOOKUP($A37,'Lịch AP'!$A:$J,B$1,0),"")</f>
        <v>46009</v>
      </c>
      <c r="C37" s="21">
        <f>IFERROR(VLOOKUP($A37,'Lịch AP'!$A:$J,C$1,0),"")</f>
        <v>1</v>
      </c>
      <c r="D37" s="20" t="str">
        <f>IFERROR(VLOOKUP($A37,'Lịch AP'!$A:$J,D$1,0),"")</f>
        <v>PMQT</v>
      </c>
      <c r="E37" s="20" t="str">
        <f>IFERROR(VLOOKUP($A37,'Lịch AP'!$A:$J,E$1,0),"")</f>
        <v>T1006 (Nha T)</v>
      </c>
      <c r="F37" s="20" t="str">
        <f>IFERROR(VLOOKUP($A37,'Lịch AP'!$A:$J,F$1,0),"")</f>
        <v>SD21301</v>
      </c>
      <c r="G37" s="20" t="str">
        <f>IFERROR(VLOOKUP($A37,'Lịch AP'!$A:$J,G$1,0),"")</f>
        <v>baytt</v>
      </c>
      <c r="H37" s="20" t="str">
        <f>IFERROR(VLOOKUP($A37,'Lịch AP'!$A:$J,H$1,0),"")</f>
        <v>COM108</v>
      </c>
      <c r="I37" s="20" t="str">
        <f>IFERROR(VLOOKUP($A37,'Lịch AP'!$A:$J,I$1,0),"")</f>
        <v>Nhập môn lập trình</v>
      </c>
      <c r="J37" s="32"/>
      <c r="K37" s="19"/>
      <c r="L37" s="22"/>
    </row>
    <row r="38" spans="1:12" ht="14.4">
      <c r="A38" s="61"/>
      <c r="B38" s="62"/>
      <c r="C38" s="24"/>
      <c r="D38" s="61"/>
      <c r="E38" s="61"/>
      <c r="F38" s="22"/>
      <c r="H38" s="22"/>
      <c r="I38" s="22"/>
      <c r="J38" s="23"/>
      <c r="K38" s="22"/>
      <c r="L38" s="22"/>
    </row>
    <row r="40" spans="1:12" ht="17.399999999999999">
      <c r="A40" s="25" t="s">
        <v>391</v>
      </c>
      <c r="B40" s="25"/>
      <c r="C40" s="26"/>
      <c r="D40" s="25"/>
      <c r="E40" s="25"/>
      <c r="F40" s="25"/>
      <c r="H40" s="25"/>
      <c r="I40" s="25"/>
    </row>
    <row r="41" spans="1:12">
      <c r="A41" s="27" t="s">
        <v>392</v>
      </c>
      <c r="B41" s="27"/>
      <c r="C41" s="28"/>
      <c r="D41" s="27"/>
      <c r="E41" s="27"/>
      <c r="F41" s="27"/>
      <c r="H41" s="27"/>
      <c r="I41" s="56" t="s">
        <v>393</v>
      </c>
    </row>
    <row r="42" spans="1:12">
      <c r="A42" s="27" t="s">
        <v>394</v>
      </c>
      <c r="B42" s="27"/>
      <c r="C42" s="28"/>
      <c r="D42" s="27"/>
      <c r="E42" s="27"/>
      <c r="F42" s="27"/>
      <c r="H42" s="27"/>
      <c r="I42" s="56" t="s">
        <v>393</v>
      </c>
    </row>
    <row r="43" spans="1:12">
      <c r="A43" s="27" t="s">
        <v>395</v>
      </c>
      <c r="B43" s="27"/>
      <c r="C43" s="28"/>
      <c r="D43" s="27"/>
      <c r="E43" s="27"/>
      <c r="F43" s="27"/>
      <c r="H43" s="27"/>
      <c r="I43" s="56" t="s">
        <v>393</v>
      </c>
    </row>
    <row r="44" spans="1:12">
      <c r="A44" s="27" t="s">
        <v>396</v>
      </c>
      <c r="B44" s="27"/>
      <c r="C44" s="28"/>
      <c r="D44" s="27"/>
      <c r="E44" s="27"/>
      <c r="F44" s="27"/>
      <c r="H44" s="27"/>
      <c r="I44" s="27" t="s">
        <v>397</v>
      </c>
    </row>
    <row r="45" spans="1:12">
      <c r="A45" s="27" t="s">
        <v>398</v>
      </c>
      <c r="B45" s="27"/>
      <c r="C45" s="28"/>
      <c r="D45" s="27"/>
      <c r="E45" s="27"/>
      <c r="F45" s="27"/>
      <c r="H45" s="27"/>
      <c r="I45" s="27" t="s">
        <v>399</v>
      </c>
    </row>
    <row r="46" spans="1:12">
      <c r="A46" s="27" t="s">
        <v>400</v>
      </c>
      <c r="B46" s="27"/>
      <c r="C46" s="28"/>
      <c r="D46" s="27"/>
      <c r="E46" s="27"/>
      <c r="F46" s="27"/>
      <c r="H46" s="27"/>
      <c r="I46" s="27" t="s">
        <v>401</v>
      </c>
    </row>
    <row r="47" spans="1:12">
      <c r="A47" s="27" t="s">
        <v>402</v>
      </c>
      <c r="B47" s="27"/>
      <c r="C47" s="28"/>
      <c r="D47" s="27"/>
      <c r="E47" s="27"/>
      <c r="F47" s="27"/>
      <c r="H47" s="27"/>
      <c r="I47" s="27" t="s">
        <v>399</v>
      </c>
    </row>
    <row r="51" spans="8:8">
      <c r="H51" s="2" t="s">
        <v>403</v>
      </c>
    </row>
  </sheetData>
  <mergeCells count="2">
    <mergeCell ref="A38:B38"/>
    <mergeCell ref="D38:E3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J48"/>
  <sheetViews>
    <sheetView zoomScale="85" zoomScaleNormal="85" workbookViewId="0">
      <selection activeCell="E3" sqref="E3"/>
    </sheetView>
  </sheetViews>
  <sheetFormatPr defaultColWidth="9.5" defaultRowHeight="13.2"/>
  <cols>
    <col min="1" max="1" width="3.5" style="2" customWidth="1"/>
    <col min="2" max="2" width="11.3984375" style="2" customWidth="1"/>
    <col min="3" max="3" width="6.59765625" style="2" customWidth="1"/>
    <col min="4" max="4" width="9.3984375" style="2" customWidth="1"/>
    <col min="5" max="5" width="15.296875" style="2" customWidth="1"/>
    <col min="6" max="6" width="9.69921875" style="2" customWidth="1"/>
    <col min="7" max="7" width="9.796875" style="2" customWidth="1"/>
    <col min="8" max="8" width="13.5" style="2" customWidth="1"/>
    <col min="9" max="9" width="19.5" style="2" customWidth="1"/>
    <col min="10" max="10" width="16.296875" style="2" customWidth="1"/>
    <col min="11" max="11" width="9.5" style="2" customWidth="1"/>
    <col min="12" max="12" width="3.5" style="2" customWidth="1"/>
    <col min="13" max="13" width="10.69921875" style="2" customWidth="1"/>
    <col min="14" max="14" width="2.5" style="2" customWidth="1"/>
    <col min="15" max="15" width="15" style="2" customWidth="1"/>
    <col min="16" max="16" width="12.296875" style="2" customWidth="1"/>
    <col min="17" max="17" width="8.09765625" style="2" customWidth="1"/>
    <col min="18" max="18" width="4.59765625" style="2" customWidth="1"/>
    <col min="19" max="19" width="7.8984375" style="2" customWidth="1"/>
    <col min="20" max="20" width="15.59765625" style="2" customWidth="1"/>
    <col min="21" max="21" width="14.5" style="2" customWidth="1"/>
    <col min="22" max="22" width="18.09765625" style="2" customWidth="1"/>
    <col min="23" max="23" width="9.5" style="2" customWidth="1"/>
    <col min="24" max="16384" width="9.5" style="2"/>
  </cols>
  <sheetData>
    <row r="1" spans="1:10" s="1" customFormat="1">
      <c r="A1" s="3" t="s">
        <v>372</v>
      </c>
      <c r="B1" s="3" t="s">
        <v>373</v>
      </c>
      <c r="C1" s="3" t="s">
        <v>374</v>
      </c>
      <c r="D1" s="3" t="s">
        <v>375</v>
      </c>
      <c r="E1" s="3" t="s">
        <v>376</v>
      </c>
      <c r="F1" s="3" t="s">
        <v>377</v>
      </c>
      <c r="G1" s="3" t="s">
        <v>378</v>
      </c>
      <c r="H1" s="3" t="s">
        <v>379</v>
      </c>
      <c r="I1" s="3" t="s">
        <v>380</v>
      </c>
      <c r="J1" s="3" t="s">
        <v>404</v>
      </c>
    </row>
    <row r="2" spans="1:10" ht="13.8">
      <c r="A2" s="4">
        <v>1</v>
      </c>
      <c r="B2" s="5">
        <v>45965</v>
      </c>
      <c r="C2" s="4">
        <v>1</v>
      </c>
      <c r="D2" s="4" t="s">
        <v>405</v>
      </c>
      <c r="E2" s="4" t="s">
        <v>406</v>
      </c>
      <c r="F2" s="4" t="s">
        <v>407</v>
      </c>
      <c r="G2" s="4" t="s">
        <v>408</v>
      </c>
      <c r="H2" s="4" t="s">
        <v>7</v>
      </c>
      <c r="I2" s="4" t="s">
        <v>3</v>
      </c>
      <c r="J2" s="4" t="s">
        <v>409</v>
      </c>
    </row>
    <row r="3" spans="1:10" ht="13.8">
      <c r="A3" s="4">
        <v>2</v>
      </c>
      <c r="B3" s="5">
        <v>45967</v>
      </c>
      <c r="C3" s="4">
        <v>1</v>
      </c>
      <c r="D3" s="4" t="s">
        <v>405</v>
      </c>
      <c r="E3" s="4" t="s">
        <v>406</v>
      </c>
      <c r="F3" s="4" t="s">
        <v>407</v>
      </c>
      <c r="G3" s="4" t="s">
        <v>408</v>
      </c>
      <c r="H3" s="4" t="s">
        <v>7</v>
      </c>
      <c r="I3" s="4" t="s">
        <v>3</v>
      </c>
      <c r="J3" s="4" t="s">
        <v>409</v>
      </c>
    </row>
    <row r="4" spans="1:10" ht="13.8">
      <c r="A4" s="4">
        <v>3</v>
      </c>
      <c r="B4" s="5">
        <v>45969</v>
      </c>
      <c r="C4" s="4">
        <v>1</v>
      </c>
      <c r="D4" s="4" t="s">
        <v>405</v>
      </c>
      <c r="E4" s="4" t="s">
        <v>406</v>
      </c>
      <c r="F4" s="4" t="s">
        <v>407</v>
      </c>
      <c r="G4" s="4" t="s">
        <v>408</v>
      </c>
      <c r="H4" s="4" t="s">
        <v>7</v>
      </c>
      <c r="I4" s="4" t="s">
        <v>3</v>
      </c>
      <c r="J4" s="4" t="s">
        <v>409</v>
      </c>
    </row>
    <row r="5" spans="1:10" ht="13.8">
      <c r="A5" s="4">
        <v>4</v>
      </c>
      <c r="B5" s="5">
        <v>45972</v>
      </c>
      <c r="C5" s="4">
        <v>1</v>
      </c>
      <c r="D5" s="4" t="s">
        <v>405</v>
      </c>
      <c r="E5" s="4" t="s">
        <v>406</v>
      </c>
      <c r="F5" s="4" t="s">
        <v>407</v>
      </c>
      <c r="G5" s="4" t="s">
        <v>408</v>
      </c>
      <c r="H5" s="4" t="s">
        <v>7</v>
      </c>
      <c r="I5" s="4" t="s">
        <v>3</v>
      </c>
      <c r="J5" s="4" t="s">
        <v>409</v>
      </c>
    </row>
    <row r="6" spans="1:10" ht="13.8">
      <c r="A6" s="4">
        <v>5</v>
      </c>
      <c r="B6" s="5">
        <v>45974</v>
      </c>
      <c r="C6" s="4">
        <v>1</v>
      </c>
      <c r="D6" s="4" t="s">
        <v>405</v>
      </c>
      <c r="E6" s="4" t="s">
        <v>406</v>
      </c>
      <c r="F6" s="4" t="s">
        <v>407</v>
      </c>
      <c r="G6" s="4" t="s">
        <v>408</v>
      </c>
      <c r="H6" s="4" t="s">
        <v>7</v>
      </c>
      <c r="I6" s="4" t="s">
        <v>3</v>
      </c>
      <c r="J6" s="4" t="s">
        <v>409</v>
      </c>
    </row>
    <row r="7" spans="1:10" ht="13.8">
      <c r="A7" s="4">
        <v>6</v>
      </c>
      <c r="B7" s="5">
        <v>45976</v>
      </c>
      <c r="C7" s="4">
        <v>1</v>
      </c>
      <c r="D7" s="4" t="s">
        <v>405</v>
      </c>
      <c r="E7" s="4" t="s">
        <v>406</v>
      </c>
      <c r="F7" s="4" t="s">
        <v>407</v>
      </c>
      <c r="G7" s="4" t="s">
        <v>408</v>
      </c>
      <c r="H7" s="4" t="s">
        <v>7</v>
      </c>
      <c r="I7" s="4" t="s">
        <v>3</v>
      </c>
      <c r="J7" s="4" t="s">
        <v>409</v>
      </c>
    </row>
    <row r="8" spans="1:10" ht="13.8">
      <c r="A8" s="4">
        <v>7</v>
      </c>
      <c r="B8" s="5">
        <v>45979</v>
      </c>
      <c r="C8" s="4">
        <v>1</v>
      </c>
      <c r="D8" s="4" t="s">
        <v>405</v>
      </c>
      <c r="E8" s="4" t="s">
        <v>406</v>
      </c>
      <c r="F8" s="4" t="s">
        <v>407</v>
      </c>
      <c r="G8" s="4" t="s">
        <v>408</v>
      </c>
      <c r="H8" s="4" t="s">
        <v>7</v>
      </c>
      <c r="I8" s="4" t="s">
        <v>3</v>
      </c>
      <c r="J8" s="4" t="s">
        <v>409</v>
      </c>
    </row>
    <row r="9" spans="1:10" ht="13.8">
      <c r="A9" s="4">
        <v>8</v>
      </c>
      <c r="B9" s="5">
        <v>45981</v>
      </c>
      <c r="C9" s="4">
        <v>1</v>
      </c>
      <c r="D9" s="4" t="s">
        <v>405</v>
      </c>
      <c r="E9" s="4" t="s">
        <v>406</v>
      </c>
      <c r="F9" s="4" t="s">
        <v>407</v>
      </c>
      <c r="G9" s="4" t="s">
        <v>408</v>
      </c>
      <c r="H9" s="4" t="s">
        <v>7</v>
      </c>
      <c r="I9" s="4" t="s">
        <v>3</v>
      </c>
      <c r="J9" s="4" t="s">
        <v>409</v>
      </c>
    </row>
    <row r="10" spans="1:10" ht="13.8">
      <c r="A10" s="4">
        <v>9</v>
      </c>
      <c r="B10" s="5">
        <v>45983</v>
      </c>
      <c r="C10" s="4">
        <v>1</v>
      </c>
      <c r="D10" s="4" t="s">
        <v>405</v>
      </c>
      <c r="E10" s="4" t="s">
        <v>406</v>
      </c>
      <c r="F10" s="4" t="s">
        <v>407</v>
      </c>
      <c r="G10" s="4" t="s">
        <v>408</v>
      </c>
      <c r="H10" s="4" t="s">
        <v>7</v>
      </c>
      <c r="I10" s="4" t="s">
        <v>3</v>
      </c>
      <c r="J10" s="4" t="s">
        <v>409</v>
      </c>
    </row>
    <row r="11" spans="1:10" ht="13.8">
      <c r="A11" s="4">
        <v>10</v>
      </c>
      <c r="B11" s="5">
        <v>45986</v>
      </c>
      <c r="C11" s="4">
        <v>1</v>
      </c>
      <c r="D11" s="4" t="s">
        <v>405</v>
      </c>
      <c r="E11" s="4" t="s">
        <v>406</v>
      </c>
      <c r="F11" s="4" t="s">
        <v>407</v>
      </c>
      <c r="G11" s="4" t="s">
        <v>408</v>
      </c>
      <c r="H11" s="4" t="s">
        <v>7</v>
      </c>
      <c r="I11" s="4" t="s">
        <v>3</v>
      </c>
      <c r="J11" s="4" t="s">
        <v>409</v>
      </c>
    </row>
    <row r="12" spans="1:10" ht="13.8">
      <c r="A12" s="4">
        <v>11</v>
      </c>
      <c r="B12" s="5">
        <v>45988</v>
      </c>
      <c r="C12" s="4">
        <v>1</v>
      </c>
      <c r="D12" s="4" t="s">
        <v>405</v>
      </c>
      <c r="E12" s="4" t="s">
        <v>406</v>
      </c>
      <c r="F12" s="4" t="s">
        <v>407</v>
      </c>
      <c r="G12" s="4" t="s">
        <v>408</v>
      </c>
      <c r="H12" s="4" t="s">
        <v>7</v>
      </c>
      <c r="I12" s="4" t="s">
        <v>3</v>
      </c>
      <c r="J12" s="4" t="s">
        <v>409</v>
      </c>
    </row>
    <row r="13" spans="1:10" ht="13.8">
      <c r="A13" s="4">
        <v>12</v>
      </c>
      <c r="B13" s="5">
        <v>45990</v>
      </c>
      <c r="C13" s="4">
        <v>1</v>
      </c>
      <c r="D13" s="4" t="s">
        <v>405</v>
      </c>
      <c r="E13" s="4" t="s">
        <v>406</v>
      </c>
      <c r="F13" s="4" t="s">
        <v>407</v>
      </c>
      <c r="G13" s="4" t="s">
        <v>408</v>
      </c>
      <c r="H13" s="4" t="s">
        <v>7</v>
      </c>
      <c r="I13" s="4" t="s">
        <v>3</v>
      </c>
      <c r="J13" s="4" t="s">
        <v>409</v>
      </c>
    </row>
    <row r="14" spans="1:10" ht="13.8">
      <c r="A14" s="4">
        <v>13</v>
      </c>
      <c r="B14" s="5">
        <v>45993</v>
      </c>
      <c r="C14" s="4">
        <v>1</v>
      </c>
      <c r="D14" s="4" t="s">
        <v>405</v>
      </c>
      <c r="E14" s="4" t="s">
        <v>406</v>
      </c>
      <c r="F14" s="4" t="s">
        <v>407</v>
      </c>
      <c r="G14" s="4" t="s">
        <v>408</v>
      </c>
      <c r="H14" s="4" t="s">
        <v>7</v>
      </c>
      <c r="I14" s="4" t="s">
        <v>3</v>
      </c>
      <c r="J14" s="4" t="s">
        <v>409</v>
      </c>
    </row>
    <row r="15" spans="1:10" ht="13.8">
      <c r="A15" s="4">
        <v>14</v>
      </c>
      <c r="B15" s="5">
        <v>45995</v>
      </c>
      <c r="C15" s="4">
        <v>1</v>
      </c>
      <c r="D15" s="4" t="s">
        <v>405</v>
      </c>
      <c r="E15" s="4" t="s">
        <v>406</v>
      </c>
      <c r="F15" s="4" t="s">
        <v>407</v>
      </c>
      <c r="G15" s="4" t="s">
        <v>408</v>
      </c>
      <c r="H15" s="4" t="s">
        <v>7</v>
      </c>
      <c r="I15" s="4" t="s">
        <v>3</v>
      </c>
      <c r="J15" s="4" t="s">
        <v>409</v>
      </c>
    </row>
    <row r="16" spans="1:10" ht="13.8">
      <c r="A16" s="4">
        <v>15</v>
      </c>
      <c r="B16" s="5">
        <v>45997</v>
      </c>
      <c r="C16" s="4">
        <v>1</v>
      </c>
      <c r="D16" s="4" t="s">
        <v>405</v>
      </c>
      <c r="E16" s="4" t="s">
        <v>406</v>
      </c>
      <c r="F16" s="4" t="s">
        <v>407</v>
      </c>
      <c r="G16" s="4" t="s">
        <v>408</v>
      </c>
      <c r="H16" s="4" t="s">
        <v>7</v>
      </c>
      <c r="I16" s="4" t="s">
        <v>3</v>
      </c>
      <c r="J16" s="4" t="s">
        <v>409</v>
      </c>
    </row>
    <row r="17" spans="1:10" ht="13.8">
      <c r="A17" s="4">
        <v>16</v>
      </c>
      <c r="B17" s="5">
        <v>46000</v>
      </c>
      <c r="C17" s="4">
        <v>1</v>
      </c>
      <c r="D17" s="4" t="s">
        <v>405</v>
      </c>
      <c r="E17" s="4" t="s">
        <v>406</v>
      </c>
      <c r="F17" s="4" t="s">
        <v>407</v>
      </c>
      <c r="G17" s="4" t="s">
        <v>408</v>
      </c>
      <c r="H17" s="4" t="s">
        <v>7</v>
      </c>
      <c r="I17" s="4" t="s">
        <v>3</v>
      </c>
      <c r="J17" s="4" t="s">
        <v>409</v>
      </c>
    </row>
    <row r="18" spans="1:10" ht="13.8">
      <c r="A18" s="4">
        <v>17</v>
      </c>
      <c r="B18" s="5">
        <v>46002</v>
      </c>
      <c r="C18" s="4">
        <v>1</v>
      </c>
      <c r="D18" s="4" t="s">
        <v>405</v>
      </c>
      <c r="E18" s="4" t="s">
        <v>406</v>
      </c>
      <c r="F18" s="4" t="s">
        <v>407</v>
      </c>
      <c r="G18" s="4" t="s">
        <v>408</v>
      </c>
      <c r="H18" s="4" t="s">
        <v>7</v>
      </c>
      <c r="I18" s="4" t="s">
        <v>3</v>
      </c>
      <c r="J18" s="4" t="s">
        <v>409</v>
      </c>
    </row>
    <row r="19" spans="1:10" ht="13.8">
      <c r="A19" s="4">
        <v>18</v>
      </c>
      <c r="B19" s="5">
        <v>46004</v>
      </c>
      <c r="C19" s="4">
        <v>1</v>
      </c>
      <c r="D19" s="4" t="s">
        <v>405</v>
      </c>
      <c r="E19" s="4" t="s">
        <v>406</v>
      </c>
      <c r="F19" s="4" t="s">
        <v>407</v>
      </c>
      <c r="G19" s="4" t="s">
        <v>408</v>
      </c>
      <c r="H19" s="4" t="s">
        <v>7</v>
      </c>
      <c r="I19" s="4" t="s">
        <v>3</v>
      </c>
      <c r="J19" s="4" t="s">
        <v>410</v>
      </c>
    </row>
    <row r="20" spans="1:10" ht="13.8">
      <c r="A20" s="4">
        <v>19</v>
      </c>
      <c r="B20" s="5">
        <v>46007</v>
      </c>
      <c r="C20" s="4">
        <v>1</v>
      </c>
      <c r="D20" s="4" t="s">
        <v>405</v>
      </c>
      <c r="E20" s="4" t="s">
        <v>406</v>
      </c>
      <c r="F20" s="4" t="s">
        <v>407</v>
      </c>
      <c r="G20" s="4" t="s">
        <v>408</v>
      </c>
      <c r="H20" s="4" t="s">
        <v>7</v>
      </c>
      <c r="I20" s="4" t="s">
        <v>3</v>
      </c>
      <c r="J20" s="4" t="s">
        <v>411</v>
      </c>
    </row>
    <row r="21" spans="1:10" ht="13.8">
      <c r="A21" s="4">
        <v>20</v>
      </c>
      <c r="B21" s="5">
        <v>46009</v>
      </c>
      <c r="C21" s="4">
        <v>1</v>
      </c>
      <c r="D21" s="4" t="s">
        <v>405</v>
      </c>
      <c r="E21" s="4" t="s">
        <v>406</v>
      </c>
      <c r="F21" s="4" t="s">
        <v>407</v>
      </c>
      <c r="G21" s="4" t="s">
        <v>408</v>
      </c>
      <c r="H21" s="4" t="s">
        <v>7</v>
      </c>
      <c r="I21" s="4" t="s">
        <v>3</v>
      </c>
      <c r="J21" s="4" t="s">
        <v>411</v>
      </c>
    </row>
    <row r="22" spans="1:10" ht="13.8">
      <c r="A22" s="6">
        <v>21</v>
      </c>
      <c r="B22" s="5">
        <v>46011</v>
      </c>
      <c r="C22" s="6">
        <v>1</v>
      </c>
      <c r="D22" s="6" t="s">
        <v>405</v>
      </c>
      <c r="E22" s="6" t="s">
        <v>406</v>
      </c>
      <c r="F22" s="6" t="s">
        <v>407</v>
      </c>
      <c r="G22" s="6" t="s">
        <v>408</v>
      </c>
      <c r="H22" s="6" t="s">
        <v>7</v>
      </c>
      <c r="I22" s="6" t="s">
        <v>3</v>
      </c>
      <c r="J22" s="6" t="s">
        <v>411</v>
      </c>
    </row>
    <row r="23" spans="1:10">
      <c r="A23" s="7"/>
      <c r="B23" s="8"/>
      <c r="C23" s="7"/>
      <c r="D23" s="7"/>
      <c r="E23" s="7"/>
      <c r="F23" s="7"/>
      <c r="G23" s="7"/>
      <c r="H23" s="7"/>
      <c r="I23" s="7"/>
      <c r="J23" s="7"/>
    </row>
    <row r="24" spans="1:10">
      <c r="A24" s="9"/>
      <c r="B24" s="10"/>
      <c r="C24" s="9"/>
      <c r="D24" s="9"/>
      <c r="E24" s="9"/>
      <c r="F24" s="9"/>
      <c r="G24" s="9"/>
      <c r="H24" s="9"/>
      <c r="I24" s="9"/>
      <c r="J24" s="9"/>
    </row>
    <row r="25" spans="1:10">
      <c r="A25" s="9"/>
      <c r="B25" s="10"/>
      <c r="C25" s="9"/>
      <c r="D25" s="9"/>
      <c r="E25" s="9"/>
      <c r="F25" s="9"/>
      <c r="G25" s="9"/>
      <c r="H25" s="9"/>
      <c r="I25" s="9"/>
      <c r="J25" s="9"/>
    </row>
    <row r="26" spans="1:10">
      <c r="A26" s="9"/>
      <c r="B26" s="10"/>
      <c r="C26" s="9"/>
      <c r="D26" s="9"/>
      <c r="E26" s="9"/>
      <c r="F26" s="9"/>
      <c r="G26" s="9"/>
      <c r="H26" s="9"/>
      <c r="I26" s="9"/>
      <c r="J26" s="9"/>
    </row>
    <row r="27" spans="1:10">
      <c r="A27" s="9"/>
      <c r="B27" s="10"/>
      <c r="C27" s="9"/>
      <c r="D27" s="9"/>
      <c r="E27" s="9"/>
      <c r="F27" s="9"/>
      <c r="G27" s="9"/>
      <c r="H27" s="9"/>
      <c r="I27" s="9"/>
      <c r="J27" s="9"/>
    </row>
    <row r="28" spans="1:10">
      <c r="A28" s="9"/>
      <c r="B28" s="10"/>
      <c r="C28" s="9"/>
      <c r="D28" s="9"/>
      <c r="E28" s="9"/>
      <c r="F28" s="9"/>
      <c r="G28" s="9"/>
      <c r="H28" s="9"/>
      <c r="I28" s="9"/>
      <c r="J28" s="9"/>
    </row>
    <row r="29" spans="1:10">
      <c r="A29" s="9"/>
      <c r="B29" s="10"/>
      <c r="C29" s="9"/>
      <c r="D29" s="9"/>
      <c r="E29" s="9"/>
      <c r="F29" s="9"/>
      <c r="G29" s="9"/>
      <c r="H29" s="9"/>
      <c r="I29" s="9"/>
      <c r="J29" s="9"/>
    </row>
    <row r="30" spans="1:10">
      <c r="A30" s="9"/>
      <c r="B30" s="10"/>
      <c r="C30" s="9"/>
      <c r="D30" s="9"/>
      <c r="E30" s="9"/>
      <c r="F30" s="9"/>
      <c r="G30" s="9"/>
      <c r="H30" s="9"/>
      <c r="I30" s="9"/>
      <c r="J30" s="9"/>
    </row>
    <row r="31" spans="1:10">
      <c r="A31" s="9"/>
      <c r="B31" s="10"/>
      <c r="C31" s="9"/>
      <c r="D31" s="9"/>
      <c r="E31" s="9"/>
      <c r="F31" s="9"/>
      <c r="G31" s="9"/>
      <c r="H31" s="9"/>
      <c r="I31" s="9"/>
      <c r="J31" s="9"/>
    </row>
    <row r="32" spans="1:10">
      <c r="A32" s="9"/>
      <c r="B32" s="10"/>
      <c r="C32" s="9"/>
      <c r="D32" s="9"/>
      <c r="E32" s="9"/>
      <c r="F32" s="9"/>
      <c r="G32" s="9"/>
      <c r="H32" s="9"/>
      <c r="I32" s="9"/>
      <c r="J32" s="9"/>
    </row>
    <row r="33" spans="1:10">
      <c r="A33" s="9"/>
      <c r="B33" s="10"/>
      <c r="C33" s="9"/>
      <c r="D33" s="9"/>
      <c r="E33" s="9"/>
      <c r="F33" s="9"/>
      <c r="G33" s="9"/>
      <c r="H33" s="9"/>
      <c r="I33" s="9"/>
      <c r="J33" s="9"/>
    </row>
    <row r="34" spans="1:10">
      <c r="A34" s="9"/>
      <c r="B34" s="10"/>
      <c r="C34" s="9"/>
      <c r="D34" s="9"/>
      <c r="E34" s="9"/>
      <c r="F34" s="9"/>
      <c r="G34" s="9"/>
      <c r="H34" s="9"/>
      <c r="I34" s="9"/>
      <c r="J34" s="9"/>
    </row>
    <row r="35" spans="1:10">
      <c r="A35" s="9"/>
      <c r="B35" s="10"/>
      <c r="C35" s="9"/>
      <c r="D35" s="9"/>
      <c r="E35" s="9"/>
      <c r="F35" s="9"/>
      <c r="G35" s="9"/>
      <c r="H35" s="9"/>
      <c r="I35" s="9"/>
      <c r="J35" s="9"/>
    </row>
    <row r="36" spans="1:10">
      <c r="A36" s="9"/>
      <c r="B36" s="10"/>
      <c r="C36" s="9"/>
      <c r="D36" s="9"/>
      <c r="E36" s="9"/>
      <c r="F36" s="9"/>
      <c r="G36" s="9"/>
      <c r="H36" s="9"/>
      <c r="I36" s="9"/>
      <c r="J36" s="9"/>
    </row>
    <row r="37" spans="1:10">
      <c r="A37" s="9"/>
      <c r="B37" s="10"/>
      <c r="C37" s="9"/>
      <c r="D37" s="9"/>
      <c r="E37" s="9"/>
      <c r="F37" s="9"/>
      <c r="G37" s="9"/>
      <c r="H37" s="9"/>
      <c r="I37" s="9"/>
      <c r="J37" s="9"/>
    </row>
    <row r="38" spans="1:10">
      <c r="A38" s="9"/>
      <c r="B38" s="10"/>
      <c r="C38" s="9"/>
      <c r="D38" s="9"/>
      <c r="E38" s="9"/>
      <c r="F38" s="9"/>
      <c r="G38" s="9"/>
      <c r="H38" s="9"/>
      <c r="I38" s="9"/>
      <c r="J38" s="9"/>
    </row>
    <row r="39" spans="1:10">
      <c r="A39" s="9"/>
      <c r="B39" s="10"/>
      <c r="C39" s="9"/>
      <c r="D39" s="9"/>
      <c r="E39" s="9"/>
      <c r="F39" s="9"/>
      <c r="G39" s="9"/>
      <c r="H39" s="9"/>
      <c r="I39" s="9"/>
      <c r="J39" s="9"/>
    </row>
    <row r="40" spans="1:10">
      <c r="A40" s="9"/>
      <c r="B40" s="10"/>
      <c r="C40" s="9"/>
      <c r="D40" s="9"/>
      <c r="E40" s="9"/>
      <c r="F40" s="9"/>
      <c r="G40" s="9"/>
      <c r="H40" s="9"/>
      <c r="I40" s="9"/>
      <c r="J40" s="9"/>
    </row>
    <row r="41" spans="1:10">
      <c r="A41" s="9"/>
      <c r="B41" s="10"/>
      <c r="C41" s="9"/>
      <c r="D41" s="9"/>
      <c r="E41" s="9"/>
      <c r="F41" s="9"/>
      <c r="G41" s="9"/>
      <c r="H41" s="9"/>
      <c r="I41" s="9"/>
      <c r="J41" s="9"/>
    </row>
    <row r="42" spans="1:10">
      <c r="A42" s="9"/>
      <c r="B42" s="10"/>
      <c r="C42" s="9"/>
      <c r="D42" s="9"/>
      <c r="E42" s="9"/>
      <c r="F42" s="9"/>
      <c r="G42" s="9"/>
      <c r="H42" s="9"/>
      <c r="I42" s="9"/>
      <c r="J42" s="9"/>
    </row>
    <row r="43" spans="1:10">
      <c r="A43" s="9"/>
      <c r="B43" s="10"/>
      <c r="C43" s="9"/>
      <c r="D43" s="9"/>
      <c r="E43" s="9"/>
      <c r="F43" s="9"/>
      <c r="G43" s="9"/>
      <c r="H43" s="9"/>
      <c r="I43" s="9"/>
      <c r="J43" s="9"/>
    </row>
    <row r="44" spans="1:10">
      <c r="A44" s="9"/>
      <c r="B44" s="10"/>
      <c r="C44" s="9"/>
      <c r="D44" s="9"/>
      <c r="E44" s="9"/>
      <c r="F44" s="9"/>
      <c r="G44" s="9"/>
      <c r="H44" s="9"/>
      <c r="I44" s="9"/>
      <c r="J44" s="9"/>
    </row>
    <row r="45" spans="1:10">
      <c r="A45" s="9"/>
      <c r="B45" s="10"/>
      <c r="C45" s="9"/>
      <c r="D45" s="9"/>
      <c r="E45" s="9"/>
      <c r="F45" s="9"/>
      <c r="G45" s="9"/>
      <c r="H45" s="9"/>
      <c r="I45" s="9"/>
      <c r="J45" s="9"/>
    </row>
    <row r="46" spans="1:10">
      <c r="A46" s="9"/>
      <c r="B46" s="10"/>
      <c r="C46" s="9"/>
      <c r="D46" s="9"/>
      <c r="E46" s="9"/>
      <c r="F46" s="9"/>
      <c r="G46" s="9"/>
      <c r="H46" s="9"/>
      <c r="I46" s="9"/>
      <c r="J46" s="9"/>
    </row>
    <row r="47" spans="1:10">
      <c r="A47" s="9"/>
      <c r="B47" s="10"/>
      <c r="C47" s="9"/>
      <c r="D47" s="9"/>
      <c r="E47" s="9"/>
      <c r="F47" s="9"/>
      <c r="G47" s="9"/>
      <c r="H47" s="9"/>
      <c r="I47" s="9"/>
      <c r="J47" s="9"/>
    </row>
    <row r="48" spans="1:10">
      <c r="A48" s="9"/>
      <c r="B48" s="10"/>
      <c r="C48" s="9"/>
      <c r="D48" s="9"/>
      <c r="E48" s="9"/>
      <c r="F48" s="9"/>
      <c r="G48" s="9"/>
      <c r="H48" s="9"/>
      <c r="I48" s="9"/>
      <c r="J48" s="9"/>
    </row>
  </sheetData>
  <autoFilter ref="L23:U23" xr:uid="{00000000-0009-0000-0000-000007000000}">
    <filterColumn colId="2">
      <filters>
        <filter val="1"/>
      </filters>
    </filterColumn>
  </autoFilter>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Syllabus</vt:lpstr>
      <vt:lpstr>Materials</vt:lpstr>
      <vt:lpstr>CLO</vt:lpstr>
      <vt:lpstr>Constructivist Question</vt:lpstr>
      <vt:lpstr>Schedule</vt:lpstr>
      <vt:lpstr>Grading structure</vt:lpstr>
      <vt:lpstr>Deadline</vt:lpstr>
      <vt:lpstr>Lịch 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Thành Tài Mai</cp:lastModifiedBy>
  <cp:lastPrinted>2014-11-28T04:43:00Z</cp:lastPrinted>
  <dcterms:created xsi:type="dcterms:W3CDTF">2009-04-21T04:14:00Z</dcterms:created>
  <dcterms:modified xsi:type="dcterms:W3CDTF">2025-11-04T01:35:40Z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1ED732A9C6584FCFA9734212A5D461E3_13</vt:lpwstr>
  </property>
  <property fmtid="{D5CDD505-2E9C-101B-9397-08002B2CF9AE}" pid="3" name="KSOProductBuildVer">
    <vt:lpwstr>1033-12.2.0.23131</vt:lpwstr>
  </property>
</Properties>
</file>